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52" windowHeight="12375" activeTab="1"/>
  </bookViews>
  <sheets>
    <sheet name="成交数据周报" sheetId="1" r:id="rId1"/>
    <sheet name="留资客户登记表（绿地）" sheetId="2" r:id="rId2"/>
    <sheet name="留资客户登记表（东部）" sheetId="9" r:id="rId3"/>
    <sheet name="在籍会员分析表" sheetId="6" r:id="rId4"/>
    <sheet name="月视频号数据总和" sheetId="8" r:id="rId5"/>
    <sheet name="抖音周年庆大场直播" sheetId="10" r:id="rId6"/>
  </sheets>
  <definedNames>
    <definedName name="_xlnm._FilterDatabase" localSheetId="1" hidden="1">'留资客户登记表（绿地）'!$A$1:$W$195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<sst xmlns="http://schemas.openxmlformats.org/spreadsheetml/2006/main" count="7806" uniqueCount="2177">
  <si>
    <t>新媒体8月数据周报（周更新）</t>
  </si>
  <si>
    <t>新媒体</t>
  </si>
  <si>
    <t>销售额分类汇总</t>
  </si>
  <si>
    <t>新老客成单人数及客单价</t>
  </si>
  <si>
    <t>备注</t>
  </si>
  <si>
    <t>日期</t>
  </si>
  <si>
    <t>成交资源来源</t>
  </si>
  <si>
    <t>总数(A;B;C;D;E;F;G;H)               举例：20（3A,2B,1D,2E）</t>
  </si>
  <si>
    <t>定制私教</t>
  </si>
  <si>
    <t>私教小班</t>
  </si>
  <si>
    <t>精品团课</t>
  </si>
  <si>
    <t>特惠卡</t>
  </si>
  <si>
    <t>合计金额</t>
  </si>
  <si>
    <t>新客</t>
  </si>
  <si>
    <t>新</t>
  </si>
  <si>
    <t>人数</t>
  </si>
  <si>
    <t>客单价</t>
  </si>
  <si>
    <t>2024/4/8(第一周）</t>
  </si>
  <si>
    <t>1A、2B、2C</t>
  </si>
  <si>
    <t>案例</t>
  </si>
  <si>
    <t>2025/8/11（第二周）</t>
  </si>
  <si>
    <t>2B、1S、2F</t>
  </si>
  <si>
    <t>2025/8/18（第三周）</t>
  </si>
  <si>
    <t>1F</t>
  </si>
  <si>
    <t xml:space="preserve">                                                                                                                                                                </t>
  </si>
  <si>
    <t>2025/8/25（第四周）</t>
  </si>
  <si>
    <t>无</t>
  </si>
  <si>
    <t>月终总计</t>
  </si>
  <si>
    <t>5（2B、3F、1S）</t>
  </si>
  <si>
    <t>周总结</t>
  </si>
  <si>
    <t>思考1、根据资源总数，各渠道占比，渠道投产比决定渠道投放金额及主攻方向</t>
  </si>
  <si>
    <t>方案：</t>
  </si>
  <si>
    <t>思考2、成单新老客成单金额及人数占比情况给出总结及调整方案</t>
  </si>
  <si>
    <t>表格提交方法：信息更新后点击文件-另存为-重命名（x月x日新媒体数据报表），月最后一天更新全部</t>
  </si>
  <si>
    <t>资源来源说明：大众点评（A），美团(B)，抖音(C)，视频号(D)，自然到店（E），转介绍（F），老会员(G)，拓客卡（H）小红书（S）</t>
  </si>
  <si>
    <t>新媒体9月数据周报（周更新）</t>
  </si>
  <si>
    <t>2025/9/8(第一周）</t>
  </si>
  <si>
    <t>1E</t>
  </si>
  <si>
    <t>2025/9/15（第二周）</t>
  </si>
  <si>
    <t>2025/9/22（第三周）</t>
  </si>
  <si>
    <t>1C</t>
  </si>
  <si>
    <t>2025/9/30（第四周）</t>
  </si>
  <si>
    <t>1B</t>
  </si>
  <si>
    <t>3（1B、1C、1E）</t>
  </si>
  <si>
    <t>新媒体10月数据周报（周更新）</t>
  </si>
  <si>
    <t>2025/10/5(第一周）</t>
  </si>
  <si>
    <t>2B</t>
  </si>
  <si>
    <t>2025/10/12（第二周）</t>
  </si>
  <si>
    <t>3B</t>
  </si>
  <si>
    <t>2025/10/19（第三周）</t>
  </si>
  <si>
    <t>2025/10/26（第四周）</t>
  </si>
  <si>
    <t>2B、1C、1D、1预售</t>
  </si>
  <si>
    <t>8B、1C、1D、1预售</t>
  </si>
  <si>
    <t>新媒体11月数据周报（周更新）</t>
  </si>
  <si>
    <t>2025/11/2(第一周）</t>
  </si>
  <si>
    <t>2025/11/9（第二周）</t>
  </si>
  <si>
    <t>1B、1D</t>
  </si>
  <si>
    <t>2025/11/16（第三周）</t>
  </si>
  <si>
    <t>2B、1S</t>
  </si>
  <si>
    <t>2025/11/23（第四周）</t>
  </si>
  <si>
    <t>4B、1C、1预售</t>
  </si>
  <si>
    <t>2025/11/30（第五周）</t>
  </si>
  <si>
    <t>7B、1C、1D、1S、1预售</t>
  </si>
  <si>
    <t>新媒体12月数据周报（周更新）</t>
  </si>
  <si>
    <t>2025/12/7(第一周）</t>
  </si>
  <si>
    <t>4B</t>
  </si>
  <si>
    <t>2025/12/14（第二周）</t>
  </si>
  <si>
    <t>3B、1C、1D</t>
  </si>
  <si>
    <t>2025/12/21（第三周）</t>
  </si>
  <si>
    <t>13B、8F</t>
  </si>
  <si>
    <t>2025/12/28（第四周）</t>
  </si>
  <si>
    <t>20B、1C、1D、8F</t>
  </si>
  <si>
    <t>2026年新媒体1月数据周报（周更新）</t>
  </si>
  <si>
    <t>2026/1/4(第一周）</t>
  </si>
  <si>
    <t>2026/1/11(第二周）</t>
  </si>
  <si>
    <t>2026/1/18(第三周）</t>
  </si>
  <si>
    <t>2026/1/25(第四周）</t>
  </si>
  <si>
    <t>1A、1B、1C</t>
  </si>
  <si>
    <t>2026/1/31(第五周）</t>
  </si>
  <si>
    <t>2B、1C</t>
  </si>
  <si>
    <t>1A、8B、2C</t>
  </si>
  <si>
    <t>2026年新媒体2月数据周报（周更新）</t>
  </si>
  <si>
    <t>2026/2/8(第一周）</t>
  </si>
  <si>
    <t>2026/2/15(第二周）</t>
  </si>
  <si>
    <t>2026/2/22(第三周）</t>
  </si>
  <si>
    <t>2026/2/28(第四周）</t>
  </si>
  <si>
    <t>2026年新媒体3月数据周报（周更新）</t>
  </si>
  <si>
    <t>2026/3/8(第一周）</t>
  </si>
  <si>
    <t xml:space="preserve">6B </t>
  </si>
  <si>
    <t>2026/3/15(第二周）</t>
  </si>
  <si>
    <t>2S、1B、2C</t>
  </si>
  <si>
    <t>2026/3/22(第三周）</t>
  </si>
  <si>
    <t>3B、2C</t>
  </si>
  <si>
    <t>2026/3/31(第四周）</t>
  </si>
  <si>
    <t>3B、1C</t>
  </si>
  <si>
    <t>2S、13B、5C</t>
  </si>
  <si>
    <t>2026年新媒体4月数据周报（周更新）</t>
  </si>
  <si>
    <t>2026/4/6(第一周）</t>
  </si>
  <si>
    <t>2026/4/13(第二周）</t>
  </si>
  <si>
    <t>2026/4/20(第三周）</t>
  </si>
  <si>
    <t>有个付了1k定金上课来付现金</t>
  </si>
  <si>
    <t>2026/4/30(第四周）</t>
  </si>
  <si>
    <t>6B、1C</t>
  </si>
  <si>
    <t>2026年新媒体5月数据周报（周更新）</t>
  </si>
  <si>
    <t>2026/5/10(第一周）</t>
  </si>
  <si>
    <t>2B、1C、1F</t>
  </si>
  <si>
    <t>2026/5/17(第二周）</t>
  </si>
  <si>
    <t>2026/5/24(第三周）</t>
  </si>
  <si>
    <t>2026/5/31(第四周）</t>
  </si>
  <si>
    <t>8B、2C、1F</t>
  </si>
  <si>
    <t>2026年新媒体6月数据周报（周更新）</t>
  </si>
  <si>
    <t>2026/6/7(第一周）</t>
  </si>
  <si>
    <t>2026/6/14(第二周）</t>
  </si>
  <si>
    <t>2026/6/21(第三周）</t>
  </si>
  <si>
    <t>2026/6/30(第四周）</t>
  </si>
  <si>
    <t>6B、1D</t>
  </si>
  <si>
    <t>2026年新媒体7月数据周报（周更新）</t>
  </si>
  <si>
    <t>2026/7/5(第一周）</t>
  </si>
  <si>
    <t>2026/7/12(第二周）</t>
  </si>
  <si>
    <t>2026/7/19(第三周）</t>
  </si>
  <si>
    <t>1B、1C</t>
  </si>
  <si>
    <t>2026/7/26(第四周）</t>
  </si>
  <si>
    <t>2026/7/31(第四周）</t>
  </si>
  <si>
    <t>6B、3C</t>
  </si>
  <si>
    <t>2026年新媒体8月数据周报（周更新）</t>
  </si>
  <si>
    <t>2026/8/9(第一周）</t>
  </si>
  <si>
    <t>4B、1C</t>
  </si>
  <si>
    <t>2026/8/16(第二周）</t>
  </si>
  <si>
    <t>2026/8/23(第三周）</t>
  </si>
  <si>
    <t>2026/8/31(第四周）</t>
  </si>
  <si>
    <t>8B、2C</t>
  </si>
  <si>
    <t>潜在客资登记跟进表（周更新）</t>
  </si>
  <si>
    <t xml:space="preserve"> 市场部：阿玉 </t>
  </si>
  <si>
    <t>资源来源说明：大众点评（A），美团(B)，抖音(C)，视频号(D)，自然到店（E），转介绍（F），老会员(G)，拓客卡（H）
需求/痛点说明：1、减脂塑形 2、肩颈理疗 3、腰肌劳损 4、椎间盘突出 5、体态调整 6、疗愈减压 7、产前备孕 8、产后修复 9、腿型矫正 10、生活方式 11、体式提升 12、纯体验</t>
  </si>
  <si>
    <t>以下三次跟进记录是必填项，不代表仅跟进三次</t>
  </si>
  <si>
    <t>A类：①年消满2w②转介绍高③频次高 满足2点
B类：次卡、频次低
C类：日常活跃时间卡</t>
  </si>
  <si>
    <t>序号</t>
  </si>
  <si>
    <t>留资日期</t>
  </si>
  <si>
    <t>姓名</t>
  </si>
  <si>
    <t>电话</t>
  </si>
  <si>
    <t>需求/痛点</t>
  </si>
  <si>
    <t>来源</t>
  </si>
  <si>
    <t>服务老师</t>
  </si>
  <si>
    <t>是否体验</t>
  </si>
  <si>
    <t>体验课时间</t>
  </si>
  <si>
    <t>体验课主题</t>
  </si>
  <si>
    <t>授课老师</t>
  </si>
  <si>
    <t>是否成交</t>
  </si>
  <si>
    <t>团购卡项</t>
  </si>
  <si>
    <t>团购金额</t>
  </si>
  <si>
    <t>平台券码</t>
  </si>
  <si>
    <t>到店成交卡项</t>
  </si>
  <si>
    <t>成交金额</t>
  </si>
  <si>
    <t>第一次跟进（7天内）
最晚时间</t>
  </si>
  <si>
    <t>第二次跟进（15天内）
最晚时间</t>
  </si>
  <si>
    <t>第三次跟进（30天内）
最晚时间</t>
  </si>
  <si>
    <t>客户分级</t>
  </si>
  <si>
    <t>描述</t>
  </si>
  <si>
    <t>张一一</t>
  </si>
  <si>
    <t>体态调整</t>
  </si>
  <si>
    <t>大众点评</t>
  </si>
  <si>
    <t>张炎</t>
  </si>
  <si>
    <t>是</t>
  </si>
  <si>
    <t>私教</t>
  </si>
  <si>
    <t>婷婷</t>
  </si>
  <si>
    <t>定制私教10节</t>
  </si>
  <si>
    <t>B</t>
  </si>
  <si>
    <t>康女士</t>
  </si>
  <si>
    <t>体验</t>
  </si>
  <si>
    <t>抖音</t>
  </si>
  <si>
    <t>黄敏</t>
  </si>
  <si>
    <t>核心床小班</t>
  </si>
  <si>
    <t>泽兴</t>
  </si>
  <si>
    <t>大器械小班5节</t>
  </si>
  <si>
    <t>106541651406498</t>
  </si>
  <si>
    <t>黄女士</t>
  </si>
  <si>
    <t>小红书</t>
  </si>
  <si>
    <t>张芷晴</t>
  </si>
  <si>
    <t>内观流</t>
  </si>
  <si>
    <t>周年活动299</t>
  </si>
  <si>
    <t>summer</t>
  </si>
  <si>
    <t>体式提升</t>
  </si>
  <si>
    <t>介绍</t>
  </si>
  <si>
    <t>抖音团课3节</t>
  </si>
  <si>
    <t>101654267712226</t>
  </si>
  <si>
    <t>summer朋友</t>
  </si>
  <si>
    <t>106575812337250</t>
  </si>
  <si>
    <t>章月</t>
  </si>
  <si>
    <t>产后修复</t>
  </si>
  <si>
    <t>美团</t>
  </si>
  <si>
    <t>苏米</t>
  </si>
  <si>
    <t>产后私教</t>
  </si>
  <si>
    <t>糖糖</t>
  </si>
  <si>
    <t>私教1节</t>
  </si>
  <si>
    <t>阿莹</t>
  </si>
  <si>
    <t>减脂塑形</t>
  </si>
  <si>
    <t>室内蹦极小班</t>
  </si>
  <si>
    <t>翁烨琼</t>
  </si>
  <si>
    <t>阿莹转介绍</t>
  </si>
  <si>
    <t>YOLO</t>
  </si>
  <si>
    <t>否</t>
  </si>
  <si>
    <t>东部店</t>
  </si>
  <si>
    <t>抖音下单无留资与朋友到店</t>
  </si>
  <si>
    <t>器械小班1节</t>
  </si>
  <si>
    <t>106636692834818</t>
  </si>
  <si>
    <t>zoya</t>
  </si>
  <si>
    <t>王</t>
  </si>
  <si>
    <t>夏楚怡</t>
  </si>
  <si>
    <t>陈女士</t>
  </si>
  <si>
    <t>电话咨询大众点评</t>
  </si>
  <si>
    <t>娟子</t>
  </si>
  <si>
    <t>冰璐</t>
  </si>
  <si>
    <t>私教2节</t>
  </si>
  <si>
    <t>任女士</t>
  </si>
  <si>
    <t>都需要</t>
  </si>
  <si>
    <t>这周没空约下周</t>
  </si>
  <si>
    <t>赵女士</t>
  </si>
  <si>
    <t>天气太热</t>
  </si>
  <si>
    <t>kitty苏苏</t>
  </si>
  <si>
    <t>团课3节</t>
  </si>
  <si>
    <t>0207587862</t>
  </si>
  <si>
    <t>董女士</t>
  </si>
  <si>
    <t>阴阳瑜伽</t>
  </si>
  <si>
    <t>团课1节</t>
  </si>
  <si>
    <t>丁女士</t>
  </si>
  <si>
    <t>临时有事取消</t>
  </si>
  <si>
    <t>抖音小班3节</t>
  </si>
  <si>
    <t>欧阳妮真</t>
  </si>
  <si>
    <t>私教10节+私教小班10节</t>
  </si>
  <si>
    <t>7945【已退款】</t>
  </si>
  <si>
    <t>豆女士</t>
  </si>
  <si>
    <t>蔡女士</t>
  </si>
  <si>
    <t>美团/老访客</t>
  </si>
  <si>
    <t>维密</t>
  </si>
  <si>
    <t>买的优姿优态折算线下付款6节小班</t>
  </si>
  <si>
    <t>nina</t>
  </si>
  <si>
    <t>会员好友已帮约，不轮次</t>
  </si>
  <si>
    <t>106770218154850</t>
  </si>
  <si>
    <t>陈凤</t>
  </si>
  <si>
    <t>老会员</t>
  </si>
  <si>
    <t>轮次前约过没来，不轮次</t>
  </si>
  <si>
    <t>周年活动299【8.13日】</t>
  </si>
  <si>
    <t>晨晨</t>
  </si>
  <si>
    <t>一起，朋友取消没来</t>
  </si>
  <si>
    <t>颂钵小班</t>
  </si>
  <si>
    <t>晨晨朋友</t>
  </si>
  <si>
    <t>张女士</t>
  </si>
  <si>
    <t>核心流瑜伽</t>
  </si>
  <si>
    <t>瑞文</t>
  </si>
  <si>
    <t>美团私教小班3节</t>
  </si>
  <si>
    <t>94601799379</t>
  </si>
  <si>
    <t>学习请假不轮次</t>
  </si>
  <si>
    <t>李女士</t>
  </si>
  <si>
    <t>抖音电话咨询</t>
  </si>
  <si>
    <t>元素流-土水</t>
  </si>
  <si>
    <t>团课1节、普拉提小班1节</t>
  </si>
  <si>
    <t>69+79</t>
  </si>
  <si>
    <t>0132067033</t>
  </si>
  <si>
    <t>马文婷</t>
  </si>
  <si>
    <t>抖音自然到店</t>
  </si>
  <si>
    <t>阿玉/黄敏</t>
  </si>
  <si>
    <t>组合卡:10团课+8小班</t>
  </si>
  <si>
    <t>孙玲玲</t>
  </si>
  <si>
    <t>一起</t>
  </si>
  <si>
    <t>王小川</t>
  </si>
  <si>
    <t>体验器械课1节</t>
  </si>
  <si>
    <t>李子</t>
  </si>
  <si>
    <t>视频号</t>
  </si>
  <si>
    <t>体验室内蹦极课1节</t>
  </si>
  <si>
    <t>宁宁</t>
  </si>
  <si>
    <t>私教体验1节</t>
  </si>
  <si>
    <t>李景仪</t>
  </si>
  <si>
    <t>肩颈理疗团课</t>
  </si>
  <si>
    <t>雷雷</t>
  </si>
  <si>
    <t>私教体验2节</t>
  </si>
  <si>
    <t>宓旭丹</t>
  </si>
  <si>
    <t xml:space="preserve"> </t>
  </si>
  <si>
    <t>瑜伽私教体验1节</t>
  </si>
  <si>
    <t>自然到店</t>
  </si>
  <si>
    <t>蒙澍南</t>
  </si>
  <si>
    <t>谢晓雅</t>
  </si>
  <si>
    <t>普拉提私教1节</t>
  </si>
  <si>
    <t>106847038317794</t>
  </si>
  <si>
    <t>私教小班10节</t>
  </si>
  <si>
    <t>Leia</t>
  </si>
  <si>
    <t>美团团课3次卡</t>
  </si>
  <si>
    <t>up</t>
  </si>
  <si>
    <t>哈他瑜伽团课</t>
  </si>
  <si>
    <t>佳佳</t>
  </si>
  <si>
    <t>稳踏椅小班</t>
  </si>
  <si>
    <t>22475615933
23310093219
27504749050</t>
  </si>
  <si>
    <t>沈女士</t>
  </si>
  <si>
    <t>沈女士女儿</t>
  </si>
  <si>
    <t>沈女士朋友</t>
  </si>
  <si>
    <t>李怡</t>
  </si>
  <si>
    <t>肩颈理疗</t>
  </si>
  <si>
    <t>普拉提私教</t>
  </si>
  <si>
    <t>10节私教+10节私教小班（升级冲24000）</t>
  </si>
  <si>
    <t>王可</t>
  </si>
  <si>
    <t>瑜伽根基团课</t>
  </si>
  <si>
    <t>徐婷</t>
  </si>
  <si>
    <t>垫上团课1节</t>
  </si>
  <si>
    <t>钱女士</t>
  </si>
  <si>
    <t>钱女士朋友</t>
  </si>
  <si>
    <t>0407452732</t>
  </si>
  <si>
    <t>梁悦</t>
  </si>
  <si>
    <t>全能小班10节＋团课30天</t>
  </si>
  <si>
    <t>1980（已退款）</t>
  </si>
  <si>
    <t>田女士</t>
  </si>
  <si>
    <t>伸展瑜伽</t>
  </si>
  <si>
    <t>钰钰</t>
  </si>
  <si>
    <t>肩髋流瑜伽</t>
  </si>
  <si>
    <t>抖音团课3次卡</t>
  </si>
  <si>
    <t>107046111312578</t>
  </si>
  <si>
    <t>柳知言</t>
  </si>
  <si>
    <t>室内蹦极</t>
  </si>
  <si>
    <t>刘女士</t>
  </si>
  <si>
    <t>王女士</t>
  </si>
  <si>
    <t>一起，成交奖励客资</t>
  </si>
  <si>
    <t>王女士朋友</t>
  </si>
  <si>
    <t>叶少雯</t>
  </si>
  <si>
    <t>成交奖励客资</t>
  </si>
  <si>
    <t>11.11办理双十一活动1111卡项+私教月卡3张</t>
  </si>
  <si>
    <t>1111+8997</t>
  </si>
  <si>
    <t>慧慧</t>
  </si>
  <si>
    <t>唐女士</t>
  </si>
  <si>
    <t>黄雪娇</t>
  </si>
  <si>
    <t>王珏</t>
  </si>
  <si>
    <t>定制私教12节＋全能小班12节</t>
  </si>
  <si>
    <t>晨晨转介绍</t>
  </si>
  <si>
    <t>晨晨转介绍，不轮次</t>
  </si>
  <si>
    <t>黄女士妈妈</t>
  </si>
  <si>
    <t>到店线下扫码付款</t>
  </si>
  <si>
    <t>钱成竹</t>
  </si>
  <si>
    <t>整体瑜伽团课</t>
  </si>
  <si>
    <t>美团团课1节</t>
  </si>
  <si>
    <t>15节团课+15节私教小班</t>
  </si>
  <si>
    <t>1165+2330=3495</t>
  </si>
  <si>
    <t>天天</t>
  </si>
  <si>
    <t>咨询</t>
  </si>
  <si>
    <t>桂女士</t>
  </si>
  <si>
    <t>玉玉</t>
  </si>
  <si>
    <t>肩髋伸展团课</t>
  </si>
  <si>
    <t>瑞秋</t>
  </si>
  <si>
    <t>王婷</t>
  </si>
  <si>
    <t>蛋蛋</t>
  </si>
  <si>
    <t>孙燕玲</t>
  </si>
  <si>
    <t>普拉提私教2节</t>
  </si>
  <si>
    <t>11.11办理双十一活动1111卡项两张</t>
  </si>
  <si>
    <t>夏卿</t>
  </si>
  <si>
    <t>屠红霞</t>
  </si>
  <si>
    <t>范紫怡</t>
  </si>
  <si>
    <t>107160678097154</t>
  </si>
  <si>
    <t>定制私教12节+12节小班</t>
  </si>
  <si>
    <t>私教1V2</t>
  </si>
  <si>
    <t>唐羚</t>
  </si>
  <si>
    <t>冯玥玥</t>
  </si>
  <si>
    <t>两人拼卡，50次小班+20次团课，每人各25次小班+10次团课</t>
  </si>
  <si>
    <t>每人3850，共计7700</t>
  </si>
  <si>
    <t>魏薇</t>
  </si>
  <si>
    <t>candy</t>
  </si>
  <si>
    <t>虞丹婷</t>
  </si>
  <si>
    <t>抖音小班3次卡+小班月卡</t>
  </si>
  <si>
    <t>199+1399</t>
  </si>
  <si>
    <t>107200553087778</t>
  </si>
  <si>
    <t>丫丫</t>
  </si>
  <si>
    <t>临时取消</t>
  </si>
  <si>
    <t>严利嘉</t>
  </si>
  <si>
    <t>贝女士</t>
  </si>
  <si>
    <t>施先生</t>
  </si>
  <si>
    <t>瑜伽私教</t>
  </si>
  <si>
    <t>美团瑜伽私教1节</t>
  </si>
  <si>
    <t>0102406725073</t>
  </si>
  <si>
    <t>赖慧容</t>
  </si>
  <si>
    <t>阴瑜伽团课</t>
  </si>
  <si>
    <t>赖慧容朋友</t>
  </si>
  <si>
    <t>0225827921</t>
  </si>
  <si>
    <t>席荪兰</t>
  </si>
  <si>
    <t>0105748716607</t>
  </si>
  <si>
    <t>私教70节，分两次付清，首付25节，10700元</t>
  </si>
  <si>
    <t>宁宁姐</t>
  </si>
  <si>
    <t>冯玥玥转介绍</t>
  </si>
  <si>
    <t>转介绍不轮次</t>
  </si>
  <si>
    <t>之前服务老师无跟进重新分配</t>
  </si>
  <si>
    <t>流瑜伽团课</t>
  </si>
  <si>
    <t>90666533868
92701352964
93843222648</t>
  </si>
  <si>
    <t>Rachel</t>
  </si>
  <si>
    <t>美团器械小班1节</t>
  </si>
  <si>
    <t>朱女士</t>
  </si>
  <si>
    <t>开心后弯</t>
  </si>
  <si>
    <t>美团垫上周卡</t>
  </si>
  <si>
    <t>娜姐</t>
  </si>
  <si>
    <t>呼吸流瑜伽</t>
  </si>
  <si>
    <t>楚楚</t>
  </si>
  <si>
    <t>韩女士</t>
  </si>
  <si>
    <t>腰间盘突出</t>
  </si>
  <si>
    <t>转介绍</t>
  </si>
  <si>
    <t>程女士</t>
  </si>
  <si>
    <t>音乐普拉提</t>
  </si>
  <si>
    <t>107379452979650</t>
  </si>
  <si>
    <t>武艳</t>
  </si>
  <si>
    <t>团课次卡</t>
  </si>
  <si>
    <t>12月办理</t>
  </si>
  <si>
    <t>杨女士</t>
  </si>
  <si>
    <t>1v2私教</t>
  </si>
  <si>
    <t>美团1v2私教</t>
  </si>
  <si>
    <t>杨女士朋友</t>
  </si>
  <si>
    <t>王岑羽</t>
  </si>
  <si>
    <t>敏孜转介绍</t>
  </si>
  <si>
    <t>伸展流瑜伽</t>
  </si>
  <si>
    <t>瞿女士</t>
  </si>
  <si>
    <t>电话咨询</t>
  </si>
  <si>
    <t>0102290858762</t>
  </si>
  <si>
    <t>曾女士</t>
  </si>
  <si>
    <t>一起，其他老师休息</t>
  </si>
  <si>
    <t>线下支付</t>
  </si>
  <si>
    <t>赵佳伊</t>
  </si>
  <si>
    <t>肩背力量团课</t>
  </si>
  <si>
    <t>0103994644967</t>
  </si>
  <si>
    <t>团课30次</t>
  </si>
  <si>
    <t>李晔</t>
  </si>
  <si>
    <t>0104250492334</t>
  </si>
  <si>
    <t>精品团课季卡</t>
  </si>
  <si>
    <t>塑形</t>
  </si>
  <si>
    <t>美团室内蹦极课1节，申请团课周卡</t>
  </si>
  <si>
    <t>119+199</t>
  </si>
  <si>
    <t xml:space="preserve">0101303315632   0100920385532       </t>
  </si>
  <si>
    <t>杜鸿瑶</t>
  </si>
  <si>
    <t>室内蹦极私教</t>
  </si>
  <si>
    <t>抖音私教2节</t>
  </si>
  <si>
    <t>107246758239586</t>
  </si>
  <si>
    <t>双十一私教月卡</t>
  </si>
  <si>
    <t>周丽萍</t>
  </si>
  <si>
    <t>产前备孕</t>
  </si>
  <si>
    <t>孕产私教</t>
  </si>
  <si>
    <t>围围</t>
  </si>
  <si>
    <t>美团孕产定制私教</t>
  </si>
  <si>
    <t>0101425029532</t>
  </si>
  <si>
    <t>70节私教首购35节</t>
  </si>
  <si>
    <t>蒋双飞</t>
  </si>
  <si>
    <t>颂钵私教</t>
  </si>
  <si>
    <t>颂钵私教1节</t>
  </si>
  <si>
    <t>0101251107895</t>
  </si>
  <si>
    <t>私教小班季卡</t>
  </si>
  <si>
    <t>百合花</t>
  </si>
  <si>
    <t>胡女士</t>
  </si>
  <si>
    <t>椅子瑜伽</t>
  </si>
  <si>
    <t>107459771319714</t>
  </si>
  <si>
    <t>SH</t>
  </si>
  <si>
    <t>菠萝姑姑</t>
  </si>
  <si>
    <t>张敏捷</t>
  </si>
  <si>
    <t>孕产</t>
  </si>
  <si>
    <t>目前6周，先咨询</t>
  </si>
  <si>
    <t>庞女士</t>
  </si>
  <si>
    <t>美团普拉提私教2节</t>
  </si>
  <si>
    <t>0104387046434</t>
  </si>
  <si>
    <t>小泥猫</t>
  </si>
  <si>
    <t>小魔女</t>
  </si>
  <si>
    <t>顾女士</t>
  </si>
  <si>
    <t>建行宋宋</t>
  </si>
  <si>
    <t>腰椎间盘突出约过段时间</t>
  </si>
  <si>
    <t>赵颖</t>
  </si>
  <si>
    <t>0106775691097</t>
  </si>
  <si>
    <t>1v2的私教</t>
  </si>
  <si>
    <t>康丹凤</t>
  </si>
  <si>
    <t>出差下周</t>
  </si>
  <si>
    <t>店内有空的老师分配，换顺序</t>
  </si>
  <si>
    <t>1v1普拉提私教</t>
  </si>
  <si>
    <t>美团私教2节</t>
  </si>
  <si>
    <t>0103760718566</t>
  </si>
  <si>
    <t>83750156331
84107597199
85022655867</t>
  </si>
  <si>
    <t>私教小班20节</t>
  </si>
  <si>
    <t>1.3付款</t>
  </si>
  <si>
    <t>虞瑕园</t>
  </si>
  <si>
    <t>成交奖励</t>
  </si>
  <si>
    <t>女性瑜伽团课</t>
  </si>
  <si>
    <t>0103247638405</t>
  </si>
  <si>
    <t>团课10次卡</t>
  </si>
  <si>
    <t>赵微</t>
  </si>
  <si>
    <t>0104031265733</t>
  </si>
  <si>
    <t>陈春燕</t>
  </si>
  <si>
    <t>0104070480606</t>
  </si>
  <si>
    <t>团课30次卡</t>
  </si>
  <si>
    <t>蒙店分配</t>
  </si>
  <si>
    <t>韩锐锐</t>
  </si>
  <si>
    <t>维密小班课</t>
  </si>
  <si>
    <t>抖音私教小班3次卡</t>
  </si>
  <si>
    <t>107705202224706</t>
  </si>
  <si>
    <t>团课50节</t>
  </si>
  <si>
    <t>曹女士女儿</t>
  </si>
  <si>
    <t>介意拉群</t>
  </si>
  <si>
    <t>0103973725633</t>
  </si>
  <si>
    <t>王雨玲</t>
  </si>
  <si>
    <t>美团私教小班3次卡</t>
  </si>
  <si>
    <t>96907449494
90235782193
91155522799</t>
  </si>
  <si>
    <t>私教小班60节先付一半</t>
  </si>
  <si>
    <t>包子</t>
  </si>
  <si>
    <t>0104389790567</t>
  </si>
  <si>
    <t>江雅婷</t>
  </si>
  <si>
    <t>双十二199卡项，新人卡</t>
  </si>
  <si>
    <t>199+1582</t>
  </si>
  <si>
    <t>陈小皮</t>
  </si>
  <si>
    <t>汐汐</t>
  </si>
  <si>
    <t>0108587934902</t>
  </si>
  <si>
    <t>方丹若</t>
  </si>
  <si>
    <t>江雅婷转介绍</t>
  </si>
  <si>
    <t>双十二199卡项</t>
  </si>
  <si>
    <t>卉彤</t>
  </si>
  <si>
    <t>0101910008863</t>
  </si>
  <si>
    <t>Hellen</t>
  </si>
  <si>
    <t>倒立流瑜伽</t>
  </si>
  <si>
    <t>0107697959379</t>
  </si>
  <si>
    <t>猪猪少女</t>
  </si>
  <si>
    <t>之前取消重新邀约</t>
  </si>
  <si>
    <t>18838931553
15754870495
13270549546</t>
  </si>
  <si>
    <t>夏橙</t>
  </si>
  <si>
    <t>颂钵＋拉伸</t>
  </si>
  <si>
    <t>根基建立</t>
  </si>
  <si>
    <t>0105675070915</t>
  </si>
  <si>
    <t>carole</t>
  </si>
  <si>
    <t>唐思圆</t>
  </si>
  <si>
    <t>维秘暴汗</t>
  </si>
  <si>
    <t>抖音室内蹦极1节</t>
  </si>
  <si>
    <t>107947909106402</t>
  </si>
  <si>
    <t>蟹黄派</t>
  </si>
  <si>
    <t>体验普拉提</t>
  </si>
  <si>
    <t>孙时惠(溪溪）</t>
  </si>
  <si>
    <t>空中瑜伽</t>
  </si>
  <si>
    <t>0108716001413</t>
  </si>
  <si>
    <t>新人套餐</t>
  </si>
  <si>
    <t>晕晕</t>
  </si>
  <si>
    <t>美团普拉提私教1节</t>
  </si>
  <si>
    <t>0108188730130</t>
  </si>
  <si>
    <t>小女子</t>
  </si>
  <si>
    <t>无回复</t>
  </si>
  <si>
    <t>Aria</t>
  </si>
  <si>
    <t>林维垭</t>
  </si>
  <si>
    <t>0110510732964</t>
  </si>
  <si>
    <t>定制私教12节</t>
  </si>
  <si>
    <t>朱菁雯</t>
  </si>
  <si>
    <t>0102074833837</t>
  </si>
  <si>
    <t>吴晨曦</t>
  </si>
  <si>
    <t>73352324816
77413074026
70302534045</t>
  </si>
  <si>
    <t>颂钵</t>
  </si>
  <si>
    <t>来姨妈改约1.12</t>
  </si>
  <si>
    <t>芳香私教</t>
  </si>
  <si>
    <t>美团芳香私教1节</t>
  </si>
  <si>
    <t>0110195309828</t>
  </si>
  <si>
    <t>以七</t>
  </si>
  <si>
    <t>时间冲突</t>
  </si>
  <si>
    <t>肩背核心</t>
  </si>
  <si>
    <t>103796871976226</t>
  </si>
  <si>
    <t>Dr李丹</t>
  </si>
  <si>
    <t>ZXL</t>
  </si>
  <si>
    <t>肩颈驼背</t>
  </si>
  <si>
    <t>约下周</t>
  </si>
  <si>
    <t>108062794574178</t>
  </si>
  <si>
    <t>黄瑞</t>
  </si>
  <si>
    <t>墙绳瑜伽团课</t>
  </si>
  <si>
    <t>108032726761858</t>
  </si>
  <si>
    <t>徐女士</t>
  </si>
  <si>
    <t>108042405935138</t>
  </si>
  <si>
    <t>胡佳乐</t>
  </si>
  <si>
    <t>深度开肩团课</t>
  </si>
  <si>
    <t>108026108597538</t>
  </si>
  <si>
    <t>林子</t>
  </si>
  <si>
    <t>临时取消改约1.19</t>
  </si>
  <si>
    <t>开肩伸展团课</t>
  </si>
  <si>
    <t>米丽</t>
  </si>
  <si>
    <t>美团垫上团课1节</t>
  </si>
  <si>
    <t>0106730455040</t>
  </si>
  <si>
    <t>黎琴</t>
  </si>
  <si>
    <t>腰部疼痛临时改约1.26</t>
  </si>
  <si>
    <t>美团孕产康复定制私教1节</t>
  </si>
  <si>
    <t>0110176298157</t>
  </si>
  <si>
    <t>定制私教20节活动预付10节</t>
  </si>
  <si>
    <t>余女士</t>
  </si>
  <si>
    <t>Yvonne</t>
  </si>
  <si>
    <t>墙绳瑜伽</t>
  </si>
  <si>
    <t>还在国外没来宁波</t>
  </si>
  <si>
    <t>首次预约时间未能有老师上课</t>
  </si>
  <si>
    <t>体态减脂</t>
  </si>
  <si>
    <t>时间未确定</t>
  </si>
  <si>
    <t>卖房子的双子</t>
  </si>
  <si>
    <t>团课体验</t>
  </si>
  <si>
    <t>邹洁</t>
  </si>
  <si>
    <t>108067685362658</t>
  </si>
  <si>
    <t>雀雀</t>
  </si>
  <si>
    <t>美团电话</t>
  </si>
  <si>
    <t>0106778204158</t>
  </si>
  <si>
    <t>雀雀朋友</t>
  </si>
  <si>
    <t>陈卓卿</t>
  </si>
  <si>
    <t>办理双十二199后跟进办卡</t>
  </si>
  <si>
    <t>20次私教小班</t>
  </si>
  <si>
    <t>辰</t>
  </si>
  <si>
    <t>臀背核心</t>
  </si>
  <si>
    <t>泽兴/冰璐</t>
  </si>
  <si>
    <t>嫖客已退款</t>
  </si>
  <si>
    <t>菲菲</t>
  </si>
  <si>
    <t>瘦身塑形</t>
  </si>
  <si>
    <t>Molly</t>
  </si>
  <si>
    <t>体式进阶</t>
  </si>
  <si>
    <t>0101856499804</t>
  </si>
  <si>
    <t>夜雨弯刀</t>
  </si>
  <si>
    <t>男生，想纯手法自己不想动</t>
  </si>
  <si>
    <t>黄昏秋凉凉</t>
  </si>
  <si>
    <t>体验瑞文老师的课</t>
  </si>
  <si>
    <t>扫一扫</t>
  </si>
  <si>
    <t>CASSie</t>
  </si>
  <si>
    <t>Jenny</t>
  </si>
  <si>
    <t>在其他家办卡</t>
  </si>
  <si>
    <t>瑶垚</t>
  </si>
  <si>
    <t>还在约</t>
  </si>
  <si>
    <t>july徐</t>
  </si>
  <si>
    <t>锻炼身体活动活动</t>
  </si>
  <si>
    <t>朱佳慧</t>
  </si>
  <si>
    <t>0101556652895</t>
  </si>
  <si>
    <t>私教30节</t>
  </si>
  <si>
    <t>谢子</t>
  </si>
  <si>
    <t>抖音私教小班3次卡（只上了1节）</t>
  </si>
  <si>
    <t>108149377412258</t>
  </si>
  <si>
    <t>锻炼身体</t>
  </si>
  <si>
    <t>抖音团课1节</t>
  </si>
  <si>
    <t>108157946194946</t>
  </si>
  <si>
    <t>郭淑萍</t>
  </si>
  <si>
    <t>维秘团课</t>
  </si>
  <si>
    <t>抖音团课周卡</t>
  </si>
  <si>
    <t>108133936554658</t>
  </si>
  <si>
    <t>直播团课月卡申请核销299</t>
  </si>
  <si>
    <t>0108827789500
0108777316600
0108772826800</t>
  </si>
  <si>
    <t>贺旱霖</t>
  </si>
  <si>
    <t>0110634703503</t>
  </si>
  <si>
    <t>团课60节先付一半</t>
  </si>
  <si>
    <t>余杨</t>
  </si>
  <si>
    <t>久坐颈椎</t>
  </si>
  <si>
    <t>108245558113634</t>
  </si>
  <si>
    <t>白领年卡团课先付6个月</t>
  </si>
  <si>
    <t>芭杆普拉提</t>
  </si>
  <si>
    <t>0107132136847</t>
  </si>
  <si>
    <t>Julia</t>
  </si>
  <si>
    <t>瑜伽肩颈私教</t>
  </si>
  <si>
    <t>0105570081310</t>
  </si>
  <si>
    <t>坨坨好人</t>
  </si>
  <si>
    <t>春节期间</t>
  </si>
  <si>
    <t>王建萍</t>
  </si>
  <si>
    <t>重新练习</t>
  </si>
  <si>
    <t>0105057935789
0105038399089
0104914089489</t>
  </si>
  <si>
    <t>全能小班20节</t>
  </si>
  <si>
    <t>小文</t>
  </si>
  <si>
    <t>余先生</t>
  </si>
  <si>
    <t>瘦身瑜伽</t>
  </si>
  <si>
    <t>想约芷晴老师周六休息，改下周</t>
  </si>
  <si>
    <t>黄雪晴</t>
  </si>
  <si>
    <t>足弓重建团课</t>
  </si>
  <si>
    <t>0103876783360</t>
  </si>
  <si>
    <t>荔枝</t>
  </si>
  <si>
    <t>陆豆豆</t>
  </si>
  <si>
    <t>私教体验</t>
  </si>
  <si>
    <t>梧桐树下</t>
  </si>
  <si>
    <t>樱桃小丸子</t>
  </si>
  <si>
    <t>咨询企业课</t>
  </si>
  <si>
    <t>华璐</t>
  </si>
  <si>
    <t>美团室内蹦极1节</t>
  </si>
  <si>
    <t>0104870821506</t>
  </si>
  <si>
    <t>私教小班20次先买10次</t>
  </si>
  <si>
    <t>王晶菁</t>
  </si>
  <si>
    <t>美团3次私教小班卡</t>
  </si>
  <si>
    <t>0107812821572
0108009683672</t>
  </si>
  <si>
    <t>君羊</t>
  </si>
  <si>
    <t>马女士</t>
  </si>
  <si>
    <t>汤女士</t>
  </si>
  <si>
    <t>乐女士</t>
  </si>
  <si>
    <t>连上2节课</t>
  </si>
  <si>
    <t>美团器械1节、颂钵1节</t>
  </si>
  <si>
    <t>73+93</t>
  </si>
  <si>
    <t>0109193110913
0109227468613</t>
  </si>
  <si>
    <t>Rina</t>
  </si>
  <si>
    <t>会员转介绍</t>
  </si>
  <si>
    <t>内观流团课</t>
  </si>
  <si>
    <t>0106039568410</t>
  </si>
  <si>
    <t>许瑞</t>
  </si>
  <si>
    <t>柔韧度体态</t>
  </si>
  <si>
    <t>到店甩锅觉得私教贵不上</t>
  </si>
  <si>
    <t>松解了30分钟</t>
  </si>
  <si>
    <t>管管</t>
  </si>
  <si>
    <t>蒋琴</t>
  </si>
  <si>
    <t>全身普拉提 肉松</t>
  </si>
  <si>
    <t>私教45分钟</t>
  </si>
  <si>
    <t>品牌活动卡</t>
  </si>
  <si>
    <t>开髋流 后弯</t>
  </si>
  <si>
    <t>核心后弯流</t>
  </si>
  <si>
    <t>0104929759767</t>
  </si>
  <si>
    <t>lris</t>
  </si>
  <si>
    <t>普拉提</t>
  </si>
  <si>
    <t>加米</t>
  </si>
  <si>
    <t>普拉提体验</t>
  </si>
  <si>
    <t>张媛媛</t>
  </si>
  <si>
    <t>塑形为主</t>
  </si>
  <si>
    <t>生理期</t>
  </si>
  <si>
    <t>美团私教体验2节</t>
  </si>
  <si>
    <t>0102854689320</t>
  </si>
  <si>
    <t>王玲</t>
  </si>
  <si>
    <t>塑性拉伸</t>
  </si>
  <si>
    <t>贺燕敏</t>
  </si>
  <si>
    <t>抖音直播</t>
  </si>
  <si>
    <t>抖音直播团课月卡</t>
  </si>
  <si>
    <t>108622531990658</t>
  </si>
  <si>
    <t>室内蹦极1v2</t>
  </si>
  <si>
    <t>0109029519001</t>
  </si>
  <si>
    <t>荔枝朋友</t>
  </si>
  <si>
    <t>周倩</t>
  </si>
  <si>
    <t>改善体态</t>
  </si>
  <si>
    <t>直播2+1组合</t>
  </si>
  <si>
    <t>108663805757986
108649075961506</t>
  </si>
  <si>
    <t>私教月卡2张</t>
  </si>
  <si>
    <t>青青</t>
  </si>
  <si>
    <t>能量流团课</t>
  </si>
  <si>
    <t>108674050551906
108659828717314
108625641755842</t>
  </si>
  <si>
    <t>郭方</t>
  </si>
  <si>
    <t>一桐</t>
  </si>
  <si>
    <t>牟郑晴子</t>
  </si>
  <si>
    <t>阿拉彤</t>
  </si>
  <si>
    <t>信息无回复</t>
  </si>
  <si>
    <t>林静</t>
  </si>
  <si>
    <t>陈佳</t>
  </si>
  <si>
    <t>小班课体验</t>
  </si>
  <si>
    <t>颂钵体验</t>
  </si>
  <si>
    <t>赵利利</t>
  </si>
  <si>
    <t>林静转介绍</t>
  </si>
  <si>
    <t>宋丁婷</t>
  </si>
  <si>
    <t>腰部放松</t>
  </si>
  <si>
    <t>普拉提私教45分钟</t>
  </si>
  <si>
    <t>何可人</t>
  </si>
  <si>
    <t>室内蹦极私教45</t>
  </si>
  <si>
    <t>形态塑形</t>
  </si>
  <si>
    <t>0109138963901</t>
  </si>
  <si>
    <t>猫猫</t>
  </si>
  <si>
    <t>抖音平播</t>
  </si>
  <si>
    <t>元琪</t>
  </si>
  <si>
    <t>课程没开起来改天</t>
  </si>
  <si>
    <t>鲁一轩</t>
  </si>
  <si>
    <t>时间来不及改天</t>
  </si>
  <si>
    <t>沐子</t>
  </si>
  <si>
    <t>美团小班课3次</t>
  </si>
  <si>
    <t>0109853238782</t>
  </si>
  <si>
    <t>陈燕</t>
  </si>
  <si>
    <t>月</t>
  </si>
  <si>
    <t>时间不确定未约课</t>
  </si>
  <si>
    <t>陈春临</t>
  </si>
  <si>
    <t>胡佳艺</t>
  </si>
  <si>
    <t>产后普拉提</t>
  </si>
  <si>
    <t>0103237157819</t>
  </si>
  <si>
    <t>私教月卡3张</t>
  </si>
  <si>
    <t>廖女士</t>
  </si>
  <si>
    <t>减脂塑型</t>
  </si>
  <si>
    <t>0108740873030</t>
  </si>
  <si>
    <t>Giselle</t>
  </si>
  <si>
    <t>可人朋友迟到</t>
  </si>
  <si>
    <t>彬彬</t>
  </si>
  <si>
    <t>手臂力量核心</t>
  </si>
  <si>
    <t>阿斯汤加</t>
  </si>
  <si>
    <t>0103376903873</t>
  </si>
  <si>
    <t>0105022714967</t>
  </si>
  <si>
    <t>裴京京</t>
  </si>
  <si>
    <t>0102960934220</t>
  </si>
  <si>
    <t>纯体验</t>
  </si>
  <si>
    <t>0105113205567</t>
  </si>
  <si>
    <t>丹丹</t>
  </si>
  <si>
    <t>0103248599062</t>
  </si>
  <si>
    <t>吴女士</t>
  </si>
  <si>
    <t>时间没确定</t>
  </si>
  <si>
    <t>钻石小主</t>
  </si>
  <si>
    <t>Rowing</t>
  </si>
  <si>
    <t>瑜伽</t>
  </si>
  <si>
    <t>Jasmina Lahrache</t>
  </si>
  <si>
    <t>燃脂臀腿训练</t>
  </si>
  <si>
    <t>俞七七</t>
  </si>
  <si>
    <t>产后一年想练习</t>
  </si>
  <si>
    <t>范女士</t>
  </si>
  <si>
    <t>瘦身体态</t>
  </si>
  <si>
    <t>0105188972734</t>
  </si>
  <si>
    <t>吴意飞</t>
  </si>
  <si>
    <t>0106816886107
0106720231707
0106609848707</t>
  </si>
  <si>
    <t>昨夜小楼</t>
  </si>
  <si>
    <t>小班年卡</t>
  </si>
  <si>
    <t>零基础普拉提</t>
  </si>
  <si>
    <t>葡萄</t>
  </si>
  <si>
    <t>墙绳私教</t>
  </si>
  <si>
    <t>0110892586264</t>
  </si>
  <si>
    <t>LU小夕</t>
  </si>
  <si>
    <t>咨询课程</t>
  </si>
  <si>
    <t>阿玉</t>
  </si>
  <si>
    <t>过来旅游的，店长说不轮次</t>
  </si>
  <si>
    <t>0110340000093</t>
  </si>
  <si>
    <t>吴女士朋友</t>
  </si>
  <si>
    <t>0107412269558</t>
  </si>
  <si>
    <t>葛女士</t>
  </si>
  <si>
    <t>肢体僵硬想练习</t>
  </si>
  <si>
    <t>0103508183871
0103320096271
0103255597471</t>
  </si>
  <si>
    <t>黎叶</t>
  </si>
  <si>
    <t>普拉提感兴趣</t>
  </si>
  <si>
    <t>空中瑜伽团课</t>
  </si>
  <si>
    <t>0104789167933
0104768198533
0104765610133</t>
  </si>
  <si>
    <t>岳蕾</t>
  </si>
  <si>
    <t>核心床</t>
  </si>
  <si>
    <t>0106672180515
0106628751815
0106590471415</t>
  </si>
  <si>
    <t>岳蕾妈妈</t>
  </si>
  <si>
    <t>核心床，脊椎不好</t>
  </si>
  <si>
    <t>蒋女士</t>
  </si>
  <si>
    <t>袁女士</t>
  </si>
  <si>
    <t>体验瑜伽</t>
  </si>
  <si>
    <t>0102324921032</t>
  </si>
  <si>
    <t>贾俊玲</t>
  </si>
  <si>
    <t>0109481246202
0109406654702
0109405800702</t>
  </si>
  <si>
    <t>俞女士</t>
  </si>
  <si>
    <t>0109057974365</t>
  </si>
  <si>
    <t>0103464047273</t>
  </si>
  <si>
    <t>毛沁怡</t>
  </si>
  <si>
    <t>0103704826369</t>
  </si>
  <si>
    <t>毛毛朋友</t>
  </si>
  <si>
    <t>童小菜</t>
  </si>
  <si>
    <t>筱筱</t>
  </si>
  <si>
    <t>0103623449769</t>
  </si>
  <si>
    <t>小玉米</t>
  </si>
  <si>
    <t>开肩团课</t>
  </si>
  <si>
    <t>洪霞</t>
  </si>
  <si>
    <t>0103720697969</t>
  </si>
  <si>
    <t>小熊</t>
  </si>
  <si>
    <t>0102844687553</t>
  </si>
  <si>
    <t>朝朝</t>
  </si>
  <si>
    <t>宋女士</t>
  </si>
  <si>
    <t>塑形体态</t>
  </si>
  <si>
    <t>GQ</t>
  </si>
  <si>
    <t>阿紫</t>
  </si>
  <si>
    <t>郎女士</t>
  </si>
  <si>
    <t>谭女士</t>
  </si>
  <si>
    <t>咕噜</t>
  </si>
  <si>
    <t>骨盆滋养团课</t>
  </si>
  <si>
    <t>0105760137574</t>
  </si>
  <si>
    <t>小米</t>
  </si>
  <si>
    <t>0105155514909</t>
  </si>
  <si>
    <t>ivy</t>
  </si>
  <si>
    <t>0102477519039</t>
  </si>
  <si>
    <t>渃兮</t>
  </si>
  <si>
    <t>0103074218262</t>
  </si>
  <si>
    <t>私教9节</t>
  </si>
  <si>
    <t>1000定金下周二付现金</t>
  </si>
  <si>
    <t>王晨</t>
  </si>
  <si>
    <t>软壶铃小班课</t>
  </si>
  <si>
    <t>0109524272522</t>
  </si>
  <si>
    <t>私教小班30次</t>
  </si>
  <si>
    <t>张芷芮</t>
  </si>
  <si>
    <t>0102960429451</t>
  </si>
  <si>
    <t>lda</t>
  </si>
  <si>
    <t>张女士（小莓好）</t>
  </si>
  <si>
    <t>109017699488802</t>
  </si>
  <si>
    <t>只上了1次</t>
  </si>
  <si>
    <t>刘瑾仪</t>
  </si>
  <si>
    <t>0403220454655</t>
  </si>
  <si>
    <t>羊小</t>
  </si>
  <si>
    <t>体验课程</t>
  </si>
  <si>
    <t>脚扭伤了等过段时间</t>
  </si>
  <si>
    <t>若琳</t>
  </si>
  <si>
    <t>垫上普拉提</t>
  </si>
  <si>
    <t>108978916925986</t>
  </si>
  <si>
    <t>减肥塑形体态</t>
  </si>
  <si>
    <t>私教1v2</t>
  </si>
  <si>
    <t>0109026844768</t>
  </si>
  <si>
    <t>小夕</t>
  </si>
  <si>
    <t>芸汐</t>
  </si>
  <si>
    <t>0109668175422</t>
  </si>
  <si>
    <t>肩颈拉筋开肩</t>
  </si>
  <si>
    <t>0104461736885</t>
  </si>
  <si>
    <t>吴琳</t>
  </si>
  <si>
    <t>李丽</t>
  </si>
  <si>
    <t>节后约课</t>
  </si>
  <si>
    <t>小阿超</t>
  </si>
  <si>
    <t>N</t>
  </si>
  <si>
    <t>燕</t>
  </si>
  <si>
    <t>住余姚，距离太远</t>
  </si>
  <si>
    <t>何青玉</t>
  </si>
  <si>
    <t>109129804162578</t>
  </si>
  <si>
    <t>Ann</t>
  </si>
  <si>
    <t>私教和小班体验</t>
  </si>
  <si>
    <t>练习下半身，节后</t>
  </si>
  <si>
    <t>颜女士</t>
  </si>
  <si>
    <t>临时取消节后约</t>
  </si>
  <si>
    <t>L</t>
  </si>
  <si>
    <t>普拉提小班</t>
  </si>
  <si>
    <t>0107151943535</t>
  </si>
  <si>
    <t>很久没练习</t>
  </si>
  <si>
    <t>核心伸展流</t>
  </si>
  <si>
    <t>109162568363714</t>
  </si>
  <si>
    <t>彬宝</t>
  </si>
  <si>
    <t>骨盆前倾肩颈</t>
  </si>
  <si>
    <t>临时取消改约</t>
  </si>
  <si>
    <t>淼轩</t>
  </si>
  <si>
    <t>住慈溪</t>
  </si>
  <si>
    <t>一等锦鲤</t>
  </si>
  <si>
    <t>减肥肩膀内扣</t>
  </si>
  <si>
    <t>许许</t>
  </si>
  <si>
    <t>0109607859613
0109543245413
0109395487513</t>
  </si>
  <si>
    <t>杜喆</t>
  </si>
  <si>
    <t>空中课程感兴趣</t>
  </si>
  <si>
    <t>美团自然到店</t>
  </si>
  <si>
    <t>已参观了解头晕没上完课程</t>
  </si>
  <si>
    <t>0104970946898</t>
  </si>
  <si>
    <t>苗苗</t>
  </si>
  <si>
    <t>0111397304825</t>
  </si>
  <si>
    <t>蒋盈</t>
  </si>
  <si>
    <t>把杆普拉提</t>
  </si>
  <si>
    <t>顾女士转介绍</t>
  </si>
  <si>
    <t>临时改约</t>
  </si>
  <si>
    <t>贺女士</t>
  </si>
  <si>
    <t>体态腿型</t>
  </si>
  <si>
    <t>0105863284711</t>
  </si>
  <si>
    <t>李斓</t>
  </si>
  <si>
    <t>0109462110401
0109422262001
0109387313901</t>
  </si>
  <si>
    <t>范范</t>
  </si>
  <si>
    <t>零基础体验</t>
  </si>
  <si>
    <t>私教和小班咨询</t>
  </si>
  <si>
    <t>时间不固定每次临时都约满了</t>
  </si>
  <si>
    <t>0102923562153
0102901290253
0102809572553</t>
  </si>
  <si>
    <t>李琳</t>
  </si>
  <si>
    <t>瑜伽私教1v1</t>
  </si>
  <si>
    <t>0111150671418</t>
  </si>
  <si>
    <t>lou爱·不执</t>
  </si>
  <si>
    <t>玉殊</t>
  </si>
  <si>
    <t>林女士</t>
  </si>
  <si>
    <t>0109286922465</t>
  </si>
  <si>
    <t>朱莹莹</t>
  </si>
  <si>
    <t>乔女士</t>
  </si>
  <si>
    <t>对方正在讲话</t>
  </si>
  <si>
    <t>项女士</t>
  </si>
  <si>
    <t>0102864642524</t>
  </si>
  <si>
    <t>520活动卡</t>
  </si>
  <si>
    <t>浩浩</t>
  </si>
  <si>
    <t>钱苗</t>
  </si>
  <si>
    <t>夏夏</t>
  </si>
  <si>
    <t>Lily</t>
  </si>
  <si>
    <t>0105240443709</t>
  </si>
  <si>
    <t>团课20节</t>
  </si>
  <si>
    <t>梅炜琳</t>
  </si>
  <si>
    <t>到店参观再约课</t>
  </si>
  <si>
    <t>张研东</t>
  </si>
  <si>
    <t>腰不好</t>
  </si>
  <si>
    <t>0108584613559</t>
  </si>
  <si>
    <t>新人特惠卡＋520活动卡</t>
  </si>
  <si>
    <t>6999+520</t>
  </si>
  <si>
    <t>Nicole</t>
  </si>
  <si>
    <t>陈晶晶</t>
  </si>
  <si>
    <t>团课年卡咨询</t>
  </si>
  <si>
    <t>赵鸭蛋</t>
  </si>
  <si>
    <t>室内蹦极空中</t>
  </si>
  <si>
    <t>核心平衡团课</t>
  </si>
  <si>
    <t>0102946752387</t>
  </si>
  <si>
    <t>吴娟</t>
  </si>
  <si>
    <t>0104226450681</t>
  </si>
  <si>
    <r>
      <rPr>
        <sz val="12"/>
        <rFont val="宋体"/>
        <charset val="134"/>
      </rPr>
      <t>☀</t>
    </r>
    <r>
      <rPr>
        <sz val="12"/>
        <rFont val="黑体"/>
        <charset val="134"/>
      </rPr>
      <t>️</t>
    </r>
  </si>
  <si>
    <t>小白咨询</t>
  </si>
  <si>
    <t>施施</t>
  </si>
  <si>
    <t>腰腹部肩颈</t>
  </si>
  <si>
    <t>瑜伽基础团课</t>
  </si>
  <si>
    <t>0108248706780
0108252829580
0108258525580</t>
  </si>
  <si>
    <t>吴炘</t>
  </si>
  <si>
    <t>火箭流团课</t>
  </si>
  <si>
    <t>0109389858776</t>
  </si>
  <si>
    <t>困困</t>
  </si>
  <si>
    <t>晓婧</t>
  </si>
  <si>
    <t>减肥室内蹦极</t>
  </si>
  <si>
    <t>0107660184294</t>
  </si>
  <si>
    <t>田圆</t>
  </si>
  <si>
    <t>0103949283375</t>
  </si>
  <si>
    <t>新人首次特惠卡</t>
  </si>
  <si>
    <t>GOOD里</t>
  </si>
  <si>
    <t>不吃萝卜</t>
  </si>
  <si>
    <t>普拉提室内蹦极</t>
  </si>
  <si>
    <t>增肌椎间盘突出</t>
  </si>
  <si>
    <t>1v1定制私教</t>
  </si>
  <si>
    <t>白玲</t>
  </si>
  <si>
    <t>0109330491149</t>
  </si>
  <si>
    <t>肖筱</t>
  </si>
  <si>
    <t>拉伸塑形</t>
  </si>
  <si>
    <t>0104866674231
0104995823931
0105039100531</t>
  </si>
  <si>
    <t>闽贵</t>
  </si>
  <si>
    <t>0103261710337</t>
  </si>
  <si>
    <t>私教10节</t>
  </si>
  <si>
    <t>6.26升级补了9000.5</t>
  </si>
  <si>
    <t>恋</t>
  </si>
  <si>
    <t>初级普拉提</t>
  </si>
  <si>
    <t>Alice</t>
  </si>
  <si>
    <t>不给加微信联系方式</t>
  </si>
  <si>
    <t>菲儿</t>
  </si>
  <si>
    <t>0108653802959</t>
  </si>
  <si>
    <t>张露尹</t>
  </si>
  <si>
    <t>体态肩颈</t>
  </si>
  <si>
    <t>0105631607108</t>
  </si>
  <si>
    <t>新人特惠卡折算16节私教</t>
  </si>
  <si>
    <t>古女士</t>
  </si>
  <si>
    <t>抖音电话</t>
  </si>
  <si>
    <t>偏向10次卡新人套餐</t>
  </si>
  <si>
    <t>普拉提小班课</t>
  </si>
  <si>
    <t>121420260501954</t>
  </si>
  <si>
    <t>一次一核销</t>
  </si>
  <si>
    <t>绵绵</t>
  </si>
  <si>
    <t>体验小班</t>
  </si>
  <si>
    <t>小海豚小班课</t>
  </si>
  <si>
    <t>0103287203637
0103294745137
0103303428637</t>
  </si>
  <si>
    <t>俞一萍</t>
  </si>
  <si>
    <t xml:space="preserve">美团 </t>
  </si>
  <si>
    <t>0108475350661</t>
  </si>
  <si>
    <t>lulu</t>
  </si>
  <si>
    <t>燃脂塑形</t>
  </si>
  <si>
    <t>0111095002536</t>
  </si>
  <si>
    <t>赵文淑</t>
  </si>
  <si>
    <t>漫流瑜伽团课</t>
  </si>
  <si>
    <t>0103623881120</t>
  </si>
  <si>
    <t>高菊莲</t>
  </si>
  <si>
    <t>0110078843850</t>
  </si>
  <si>
    <t>30节私教</t>
  </si>
  <si>
    <t>王甜甜</t>
  </si>
  <si>
    <t>0109307132830</t>
  </si>
  <si>
    <t>新人首次私教特惠卡</t>
  </si>
  <si>
    <t>壹贰</t>
  </si>
  <si>
    <t>小猪</t>
  </si>
  <si>
    <t>lucky</t>
  </si>
  <si>
    <t>0110342649927</t>
  </si>
  <si>
    <t>旅游去了7月中旬约课</t>
  </si>
  <si>
    <t>小蚯蚓</t>
  </si>
  <si>
    <t>杭燕芳</t>
  </si>
  <si>
    <t>缪燕（amy女儿上）</t>
  </si>
  <si>
    <t>脊柱侧弯</t>
  </si>
  <si>
    <t>0105679507106</t>
  </si>
  <si>
    <t>2张月卡折合16节私教</t>
  </si>
  <si>
    <t>李琴琴</t>
  </si>
  <si>
    <t>0103454049651
0103425590951
0103311747751</t>
  </si>
  <si>
    <t>台风取消无跟进</t>
  </si>
  <si>
    <t>虞女士</t>
  </si>
  <si>
    <t>吴错</t>
  </si>
  <si>
    <t>华志新</t>
  </si>
  <si>
    <t>久坐附近办公</t>
  </si>
  <si>
    <t>美团新人入门5节</t>
  </si>
  <si>
    <t>0105276800392
0105289978092
0105373090992
0105416642092
0105482914192</t>
  </si>
  <si>
    <t>大乐</t>
  </si>
  <si>
    <t>0111233558493
0111201387193
0111066719293</t>
  </si>
  <si>
    <t>大乐女儿</t>
  </si>
  <si>
    <t>抖音小班课3次</t>
  </si>
  <si>
    <t>122249832674562
122249832674562
122249832674562</t>
  </si>
  <si>
    <t>徐徐</t>
  </si>
  <si>
    <t>Mandy</t>
  </si>
  <si>
    <t>肩颈</t>
  </si>
  <si>
    <t>0106476365374
0106406141974
0106397460474</t>
  </si>
  <si>
    <t>娟娟</t>
  </si>
  <si>
    <t>7.16，6.20，</t>
  </si>
  <si>
    <t>122338137955202
122551119331202</t>
  </si>
  <si>
    <t>还剩一次</t>
  </si>
  <si>
    <t>全能小班月卡</t>
  </si>
  <si>
    <t>小朝</t>
  </si>
  <si>
    <t>122466491820290
172249987847362</t>
  </si>
  <si>
    <t>张琴</t>
  </si>
  <si>
    <t>112250521587266</t>
  </si>
  <si>
    <t>只验了一次</t>
  </si>
  <si>
    <t>杨杨</t>
  </si>
  <si>
    <t>肩颈和把杆</t>
  </si>
  <si>
    <t>椅子瑜伽团课</t>
  </si>
  <si>
    <t>0105008065585
0104868086085
0104858271985
0104854476885
0104817621685</t>
  </si>
  <si>
    <t>周文琪</t>
  </si>
  <si>
    <t>团课和小班体验</t>
  </si>
  <si>
    <t>122478906914306</t>
  </si>
  <si>
    <t>周文琪朋友</t>
  </si>
  <si>
    <t>122538080592258</t>
  </si>
  <si>
    <t>黄晶晶</t>
  </si>
  <si>
    <t>122495283467906
122495283467906
162252673983362</t>
  </si>
  <si>
    <t>折算1小班1团课，已上完</t>
  </si>
  <si>
    <t>少肉肉</t>
  </si>
  <si>
    <t>122363286774850
122363286774850
122536486536002</t>
  </si>
  <si>
    <t>黄晶晶朋友</t>
  </si>
  <si>
    <t>122452281416194
122452281416194
122522747497538</t>
  </si>
  <si>
    <t>芮宁</t>
  </si>
  <si>
    <t>陈丹Elsa</t>
  </si>
  <si>
    <t>梦琦</t>
  </si>
  <si>
    <t>二十.</t>
  </si>
  <si>
    <t>金女士</t>
  </si>
  <si>
    <t>小班普拉提</t>
  </si>
  <si>
    <t>大学生，暑假结束来</t>
  </si>
  <si>
    <t>欣怡</t>
  </si>
  <si>
    <t>18号以后无跟进</t>
  </si>
  <si>
    <t>122573577776578</t>
  </si>
  <si>
    <t>已上一节</t>
  </si>
  <si>
    <t>CC</t>
  </si>
  <si>
    <t>22号上课没验券</t>
  </si>
  <si>
    <t>脊柱流动团课</t>
  </si>
  <si>
    <t>122744186942242
122719439188354
122841613839938</t>
  </si>
  <si>
    <t>.杨</t>
  </si>
  <si>
    <t>m</t>
  </si>
  <si>
    <t>产后10个月</t>
  </si>
  <si>
    <t>T.</t>
  </si>
  <si>
    <t>瑜伽和器械</t>
  </si>
  <si>
    <t>生理期下周</t>
  </si>
  <si>
    <t>小李</t>
  </si>
  <si>
    <t>临时取消无后续约课</t>
  </si>
  <si>
    <t>春鹿</t>
  </si>
  <si>
    <t>团课瑜伽</t>
  </si>
  <si>
    <t>出差下下周约课</t>
  </si>
  <si>
    <t>Holly</t>
  </si>
  <si>
    <t>临时改约7.28</t>
  </si>
  <si>
    <t>122645431881154</t>
  </si>
  <si>
    <t>只上1节</t>
  </si>
  <si>
    <t>朱蓉</t>
  </si>
  <si>
    <t>Nico</t>
  </si>
  <si>
    <t>122877900640706</t>
  </si>
  <si>
    <t>sunhan</t>
  </si>
  <si>
    <t>只有一节时间对不上</t>
  </si>
  <si>
    <t>美团私教1节</t>
  </si>
  <si>
    <t>0105094115185</t>
  </si>
  <si>
    <t>Mo</t>
  </si>
  <si>
    <t>冯佳忆</t>
  </si>
  <si>
    <t>122791724641410</t>
  </si>
  <si>
    <t>陈幸福</t>
  </si>
  <si>
    <t>零基础增加运动</t>
  </si>
  <si>
    <t>小婷</t>
  </si>
  <si>
    <t>美团团课3节</t>
  </si>
  <si>
    <t>0102762262645</t>
  </si>
  <si>
    <t>吴雨婷</t>
  </si>
  <si>
    <t>162290003926466</t>
  </si>
  <si>
    <t>Aisling</t>
  </si>
  <si>
    <t>霞姐</t>
  </si>
  <si>
    <t>普拉提私教1v2</t>
  </si>
  <si>
    <t>美团私教1v2</t>
  </si>
  <si>
    <t>0106631820874</t>
  </si>
  <si>
    <t>林先生</t>
  </si>
  <si>
    <t>拉伸全身韧带</t>
  </si>
  <si>
    <t>Siwat</t>
  </si>
  <si>
    <t>抖音私信</t>
  </si>
  <si>
    <t>娇儿</t>
  </si>
  <si>
    <t>燃脂室内蹦极</t>
  </si>
  <si>
    <t>牛牛妹妹</t>
  </si>
  <si>
    <t>丽丽</t>
  </si>
  <si>
    <t>123083829123010</t>
  </si>
  <si>
    <t>段段</t>
  </si>
  <si>
    <t>123158463637170</t>
  </si>
  <si>
    <t>徐佳莹</t>
  </si>
  <si>
    <t>体态调整背部</t>
  </si>
  <si>
    <t>8.5到店参观买了299</t>
  </si>
  <si>
    <t>1v1私教45分钟</t>
  </si>
  <si>
    <t>私教50节先付一半</t>
  </si>
  <si>
    <t>金科婷</t>
  </si>
  <si>
    <t>器械小班体验</t>
  </si>
  <si>
    <t>122737255316770
122737255316770</t>
  </si>
  <si>
    <t>糕糕</t>
  </si>
  <si>
    <t>塑形普拉提</t>
  </si>
  <si>
    <t>0106331787211</t>
  </si>
  <si>
    <t>莉莉</t>
  </si>
  <si>
    <t>买了299活动卡</t>
  </si>
  <si>
    <t>梦梦</t>
  </si>
  <si>
    <t>122935526467650</t>
  </si>
  <si>
    <t>Bonnie</t>
  </si>
  <si>
    <t>小愉果</t>
  </si>
  <si>
    <t>斯丹</t>
  </si>
  <si>
    <t>涵涵</t>
  </si>
  <si>
    <t>吕希云</t>
  </si>
  <si>
    <t>芳香瑜伽</t>
  </si>
  <si>
    <t>抖音团课+小班2次卡</t>
  </si>
  <si>
    <t>123288479160274</t>
  </si>
  <si>
    <t>还剩1次</t>
  </si>
  <si>
    <t>怡诺</t>
  </si>
  <si>
    <t>要白天课程</t>
  </si>
  <si>
    <t>扑雪绒</t>
  </si>
  <si>
    <t>黎敏</t>
  </si>
  <si>
    <t>肩背练习</t>
  </si>
  <si>
    <t>核心床臀腿</t>
  </si>
  <si>
    <t>全能小班半年卡</t>
  </si>
  <si>
    <t>cenyi</t>
  </si>
  <si>
    <t>邵女士</t>
  </si>
  <si>
    <t>可可</t>
  </si>
  <si>
    <t>潜客激活</t>
  </si>
  <si>
    <t>高女士</t>
  </si>
  <si>
    <t>想要周末</t>
  </si>
  <si>
    <t>叶子</t>
  </si>
  <si>
    <t>肩背体态</t>
  </si>
  <si>
    <t>0108410403647</t>
  </si>
  <si>
    <t>pink</t>
  </si>
  <si>
    <t>金水</t>
  </si>
  <si>
    <t>alin</t>
  </si>
  <si>
    <t>艾扬格瑜伽</t>
  </si>
  <si>
    <t>要求上门私教</t>
  </si>
  <si>
    <t>卢宇振</t>
  </si>
  <si>
    <t>团课器械体验</t>
  </si>
  <si>
    <t>轮瑜伽小班课</t>
  </si>
  <si>
    <t>美团普拉提器械1节</t>
  </si>
  <si>
    <t>0103868764737</t>
  </si>
  <si>
    <t>阿斯汤加团课</t>
  </si>
  <si>
    <t>美团入门5节</t>
  </si>
  <si>
    <t>0105787982444
0105777329944
0105703149844
0105977105188</t>
  </si>
  <si>
    <t>otvto</t>
  </si>
  <si>
    <t>小露</t>
  </si>
  <si>
    <t>小露朋友</t>
  </si>
  <si>
    <t>小鱼</t>
  </si>
  <si>
    <t>培培</t>
  </si>
  <si>
    <t>体验一下</t>
  </si>
  <si>
    <t>本周没时间，一周最多2次</t>
  </si>
  <si>
    <t>黄金池</t>
  </si>
  <si>
    <t>小班课团课</t>
  </si>
  <si>
    <t>宁</t>
  </si>
  <si>
    <t>胳膊上肢训练</t>
  </si>
  <si>
    <t xml:space="preserve">时间不固定 </t>
  </si>
  <si>
    <t>蔡馨逸</t>
  </si>
  <si>
    <t>23042851209
25927769623
21973902652</t>
  </si>
  <si>
    <t>郑微</t>
  </si>
  <si>
    <t>嘉欣</t>
  </si>
  <si>
    <t>东部店，10.13日婷婷成交</t>
  </si>
  <si>
    <t>美团小班3次卡</t>
  </si>
  <si>
    <t>24971558525
29898866704
29071019353</t>
  </si>
  <si>
    <t>私教小班30节</t>
  </si>
  <si>
    <t>室内蹦极次卡</t>
  </si>
  <si>
    <t>刘婉妃</t>
  </si>
  <si>
    <t>垂直框架小班</t>
  </si>
  <si>
    <t>陈玉梅</t>
  </si>
  <si>
    <t>韩燕</t>
  </si>
  <si>
    <t>陈晓晓</t>
  </si>
  <si>
    <t>店长分配</t>
  </si>
  <si>
    <t>周静</t>
  </si>
  <si>
    <t>预售推荐</t>
  </si>
  <si>
    <t>全能小班12次</t>
  </si>
  <si>
    <t>danna</t>
  </si>
  <si>
    <t>0336905365</t>
  </si>
  <si>
    <t>默默</t>
  </si>
  <si>
    <t>定金会员</t>
  </si>
  <si>
    <t>李婷婷</t>
  </si>
  <si>
    <t>琴琴</t>
  </si>
  <si>
    <t>22266612858、26910379362、28895426752</t>
  </si>
  <si>
    <t>孙媛媛</t>
  </si>
  <si>
    <t>05253341197
00000360686
03201289288</t>
  </si>
  <si>
    <t>82854492254
81032274909
88193388920</t>
  </si>
  <si>
    <t>许力丹</t>
  </si>
  <si>
    <t>芷晴老师</t>
  </si>
  <si>
    <t>乐乐</t>
  </si>
  <si>
    <t>胡玫</t>
  </si>
  <si>
    <t>七七</t>
  </si>
  <si>
    <t>梓欣</t>
  </si>
  <si>
    <t>闭馆改时间所以送了一节小班体验</t>
  </si>
  <si>
    <t>未央</t>
  </si>
  <si>
    <t>杭州出差下周回</t>
  </si>
  <si>
    <t>江景怡</t>
  </si>
  <si>
    <t>音乐普拉提团课</t>
  </si>
  <si>
    <t>0102723448181</t>
  </si>
  <si>
    <t>双十一卡项</t>
  </si>
  <si>
    <t>余惜</t>
  </si>
  <si>
    <t>粥粥</t>
  </si>
  <si>
    <t>室内蹦极次卡，申请体验颂钵小班一节</t>
  </si>
  <si>
    <t>119+99</t>
  </si>
  <si>
    <t>0102599595669 0103327715585</t>
  </si>
  <si>
    <t>粥粥朋友</t>
  </si>
  <si>
    <t>颂钵小班1节</t>
  </si>
  <si>
    <t>0102684796069</t>
  </si>
  <si>
    <t>陈海燕</t>
  </si>
  <si>
    <t>05735970561
02527337463
05078099901</t>
  </si>
  <si>
    <t>19-20号请假不轮次</t>
  </si>
  <si>
    <t>19-24号请假不轮次</t>
  </si>
  <si>
    <t>临时取消，改约11.28日</t>
  </si>
  <si>
    <t>0108995570623</t>
  </si>
  <si>
    <t>晓燕</t>
  </si>
  <si>
    <t>聪明毛</t>
  </si>
  <si>
    <t>真真</t>
  </si>
  <si>
    <t>郭聪聪</t>
  </si>
  <si>
    <t>预售客资</t>
  </si>
  <si>
    <t>成交奖励，店长分配</t>
  </si>
  <si>
    <t>ARC提臀小班</t>
  </si>
  <si>
    <t>抖音小班3次卡</t>
  </si>
  <si>
    <t>已退款</t>
  </si>
  <si>
    <t>年复一年</t>
  </si>
  <si>
    <t>夏燕</t>
  </si>
  <si>
    <t>姨妈期延后</t>
  </si>
  <si>
    <t>姨妈期</t>
  </si>
  <si>
    <t>张张</t>
  </si>
  <si>
    <t>zz</t>
  </si>
  <si>
    <t>先参观再约课</t>
  </si>
  <si>
    <t>ARC脊柱小班</t>
  </si>
  <si>
    <t>美团器械小班3节</t>
  </si>
  <si>
    <t>82636776359
88016146968
84521666074</t>
  </si>
  <si>
    <t>毛微辉</t>
  </si>
  <si>
    <t>美团颂钵小班1节</t>
  </si>
  <si>
    <t>0102026801851</t>
  </si>
  <si>
    <t>YTT</t>
  </si>
  <si>
    <t>补</t>
  </si>
  <si>
    <t>08384714684
02190747051
06078433433</t>
  </si>
  <si>
    <t>吴姹</t>
  </si>
  <si>
    <t>时间</t>
  </si>
  <si>
    <t>双十二特惠卡项</t>
  </si>
  <si>
    <t>屠遇佳</t>
  </si>
  <si>
    <t>私教小班年卡</t>
  </si>
  <si>
    <t>吴蔚</t>
  </si>
  <si>
    <t>流感下周</t>
  </si>
  <si>
    <t>安</t>
  </si>
  <si>
    <t>蒋萍</t>
  </si>
  <si>
    <t>107628571525874</t>
  </si>
  <si>
    <t>邱雪平</t>
  </si>
  <si>
    <t>暴汗</t>
  </si>
  <si>
    <t>周女士</t>
  </si>
  <si>
    <t>青音</t>
  </si>
  <si>
    <t>Nancy</t>
  </si>
  <si>
    <t>快乐燃脂操</t>
  </si>
  <si>
    <t>嘉嘉</t>
  </si>
  <si>
    <t>菜菜1</t>
  </si>
  <si>
    <t>李红</t>
  </si>
  <si>
    <t>陈泠伊</t>
  </si>
  <si>
    <t>朱诗环</t>
  </si>
  <si>
    <t>陈泠而</t>
  </si>
  <si>
    <t>肌肉力量</t>
  </si>
  <si>
    <t>陈丽娜</t>
  </si>
  <si>
    <t>燃脂塑性</t>
  </si>
  <si>
    <t>钱峥</t>
  </si>
  <si>
    <t>陈欣</t>
  </si>
  <si>
    <t>钱景晟</t>
  </si>
  <si>
    <t>疗愈脊椎</t>
  </si>
  <si>
    <t>菜菜</t>
  </si>
  <si>
    <t>艾琳</t>
  </si>
  <si>
    <t>巧燕</t>
  </si>
  <si>
    <t>吴可可</t>
  </si>
  <si>
    <t>应超</t>
  </si>
  <si>
    <t>王雯雯</t>
  </si>
  <si>
    <t>陈文婷</t>
  </si>
  <si>
    <t>双十二特惠卡项，私教小班季卡</t>
  </si>
  <si>
    <t>199+3162</t>
  </si>
  <si>
    <t>1.12成交</t>
  </si>
  <si>
    <t>顾红燕</t>
  </si>
  <si>
    <t>0106596792458</t>
  </si>
  <si>
    <t>付定金1000，保留活动12961套餐岁末活动</t>
  </si>
  <si>
    <t>july</t>
  </si>
  <si>
    <t>潘爱华</t>
  </si>
  <si>
    <t>107903291277346</t>
  </si>
  <si>
    <t>.</t>
  </si>
  <si>
    <t>魏文筱</t>
  </si>
  <si>
    <t>久坐疲惫</t>
  </si>
  <si>
    <t>溏心办卡了</t>
  </si>
  <si>
    <t>Averie蔡</t>
  </si>
  <si>
    <t>内观流小班</t>
  </si>
  <si>
    <t>安静</t>
  </si>
  <si>
    <t>孔女士</t>
  </si>
  <si>
    <t>美团器械1节</t>
  </si>
  <si>
    <t>0109123118550</t>
  </si>
  <si>
    <t>方女士</t>
  </si>
  <si>
    <t>改善背部</t>
  </si>
  <si>
    <t>高珊</t>
  </si>
  <si>
    <t>107944334905602</t>
  </si>
  <si>
    <t>想199上3节1v1退了</t>
  </si>
  <si>
    <t>秀儿</t>
  </si>
  <si>
    <t>89以为6节退了</t>
  </si>
  <si>
    <t>宋宋</t>
  </si>
  <si>
    <t>0102546387143</t>
  </si>
  <si>
    <t>郑潇校</t>
  </si>
  <si>
    <t>门店</t>
  </si>
  <si>
    <t>预售定金会员</t>
  </si>
  <si>
    <t>穆倩禅</t>
  </si>
  <si>
    <t>馆内其他老师已约好课</t>
  </si>
  <si>
    <t>Vinci</t>
  </si>
  <si>
    <t>108025477854114</t>
  </si>
  <si>
    <t>全能小班季卡</t>
  </si>
  <si>
    <t>IDC</t>
  </si>
  <si>
    <t>林初晴</t>
  </si>
  <si>
    <t>0104389569198</t>
  </si>
  <si>
    <t>姨妈取消</t>
  </si>
  <si>
    <t>全身燃脂</t>
  </si>
  <si>
    <t>林烨</t>
  </si>
  <si>
    <t>108066735995842</t>
  </si>
  <si>
    <t>戴女士</t>
  </si>
  <si>
    <t>普拉提塑形</t>
  </si>
  <si>
    <t>黎女士</t>
  </si>
  <si>
    <t>107962598122818</t>
  </si>
  <si>
    <t>邀约到店</t>
  </si>
  <si>
    <t>瑜伽小班课</t>
  </si>
  <si>
    <t>周周</t>
  </si>
  <si>
    <t>普拉提、室内蹦极</t>
  </si>
  <si>
    <t>0107511301061</t>
  </si>
  <si>
    <t>吕妙妙</t>
  </si>
  <si>
    <t>0110189916857</t>
  </si>
  <si>
    <t>全能小班18月卡</t>
  </si>
  <si>
    <t>思思</t>
  </si>
  <si>
    <t>团课课程太少时间冲突</t>
  </si>
  <si>
    <t>全身改善</t>
  </si>
  <si>
    <t>之前课程排队没排上重新约</t>
  </si>
  <si>
    <t>芳香瑜伽小班课</t>
  </si>
  <si>
    <t>107967226709090</t>
  </si>
  <si>
    <t>108107933468674</t>
  </si>
  <si>
    <t>塑形核心</t>
  </si>
  <si>
    <t>美团小班天天练</t>
  </si>
  <si>
    <t>0108058257179</t>
  </si>
  <si>
    <t>雪梨</t>
  </si>
  <si>
    <t>普拉提、空中</t>
  </si>
  <si>
    <t>0104628143009</t>
  </si>
  <si>
    <t>券拍错了</t>
  </si>
  <si>
    <t>杨悦</t>
  </si>
  <si>
    <t>0105736142910</t>
  </si>
  <si>
    <t>晴</t>
  </si>
  <si>
    <t>罗女士</t>
  </si>
  <si>
    <t>108148567963746</t>
  </si>
  <si>
    <t>w欢喜</t>
  </si>
  <si>
    <t>肩背腰腹</t>
  </si>
  <si>
    <t>童女士</t>
  </si>
  <si>
    <t>0104605441006</t>
  </si>
  <si>
    <t>毛女士</t>
  </si>
  <si>
    <t>0104652040009</t>
  </si>
  <si>
    <t>林女</t>
  </si>
  <si>
    <t>一起，迟到了改约1.30号</t>
  </si>
  <si>
    <t>张女士朋友1</t>
  </si>
  <si>
    <t>张女士朋友2</t>
  </si>
  <si>
    <t>苏婷</t>
  </si>
  <si>
    <t>轮瑜伽团课</t>
  </si>
  <si>
    <t>108913977956482</t>
  </si>
  <si>
    <t>108915130575586</t>
  </si>
  <si>
    <t>双十二活动后第一次到店</t>
  </si>
  <si>
    <t>波速球小班</t>
  </si>
  <si>
    <t>0108533915899</t>
  </si>
  <si>
    <t>马婷玉</t>
  </si>
  <si>
    <t>强身健体</t>
  </si>
  <si>
    <t>0102018686204
0102041371304
0102101208404</t>
  </si>
  <si>
    <t>全能小班2个月</t>
  </si>
  <si>
    <t>魏桢</t>
  </si>
  <si>
    <t>腰椎突出</t>
  </si>
  <si>
    <t>0107721626196</t>
  </si>
  <si>
    <t>宠粉活动私教12节+全能小班</t>
  </si>
  <si>
    <t>董文静</t>
  </si>
  <si>
    <t>0105412102474</t>
  </si>
  <si>
    <t>王文琳</t>
  </si>
  <si>
    <t>维密马甲线小班</t>
  </si>
  <si>
    <t>108151573525442</t>
  </si>
  <si>
    <t>sunny</t>
  </si>
  <si>
    <t>刘博洋</t>
  </si>
  <si>
    <t>拉伸</t>
  </si>
  <si>
    <t>瑜伽深度拉伸小班</t>
  </si>
  <si>
    <t>邱女士</t>
  </si>
  <si>
    <t>0104668394944</t>
  </si>
  <si>
    <t>张一丹</t>
  </si>
  <si>
    <t>0107966632696
0107824600096
0107797646996</t>
  </si>
  <si>
    <t>xiinns</t>
  </si>
  <si>
    <t>下周</t>
  </si>
  <si>
    <t>核心床体验</t>
  </si>
  <si>
    <t>杜盈</t>
  </si>
  <si>
    <t>体型改善减脂</t>
  </si>
  <si>
    <t>0109045896013</t>
  </si>
  <si>
    <t>新人套餐私教12节</t>
  </si>
  <si>
    <t>成女士</t>
  </si>
  <si>
    <t>3.1孩子开学后来</t>
  </si>
  <si>
    <t>来姨妈改约</t>
  </si>
  <si>
    <t>小雅</t>
  </si>
  <si>
    <t>本周无入门室内蹦极</t>
  </si>
  <si>
    <t>零基础咨询</t>
  </si>
  <si>
    <t>Trista</t>
  </si>
  <si>
    <t>小班和私教咨询</t>
  </si>
  <si>
    <t>鲍梦怡</t>
  </si>
  <si>
    <t>0104797797341
0104797012641
0104601738441</t>
  </si>
  <si>
    <t>0104536093878
0104853668478
0104702693078</t>
  </si>
  <si>
    <t>海水是咸的</t>
  </si>
  <si>
    <t>排队没排上</t>
  </si>
  <si>
    <t>塑性减肥</t>
  </si>
  <si>
    <t>燕子</t>
  </si>
  <si>
    <t>美团器械一节</t>
  </si>
  <si>
    <t>0109887794693</t>
  </si>
  <si>
    <t>券码拍错</t>
  </si>
  <si>
    <t>小琦</t>
  </si>
  <si>
    <t>减脂</t>
  </si>
  <si>
    <t>蔡东笑</t>
  </si>
  <si>
    <t>0104627117006
0104842844806
0104913630206</t>
  </si>
  <si>
    <t>李雪</t>
  </si>
  <si>
    <t>0108912239168
0108986353568
0109040080768</t>
  </si>
  <si>
    <t>王丹丹</t>
  </si>
  <si>
    <t>腿部塑性</t>
  </si>
  <si>
    <t>0109290521450
0109500244750
0109493613150</t>
  </si>
  <si>
    <t>已退款113.894</t>
  </si>
  <si>
    <t>王芳莹</t>
  </si>
  <si>
    <t>品牌三月活动卡</t>
  </si>
  <si>
    <t>孔欣航</t>
  </si>
  <si>
    <t>ARC小班课</t>
  </si>
  <si>
    <t>0102515165163
0102420086763
0102224881463</t>
  </si>
  <si>
    <t>全能小班5月卡</t>
  </si>
  <si>
    <t>李玲</t>
  </si>
  <si>
    <t>普拉提课程</t>
  </si>
  <si>
    <t>火箭流</t>
  </si>
  <si>
    <t>0107078564494
0107073024994
0107072283194</t>
  </si>
  <si>
    <t>戴柳红</t>
  </si>
  <si>
    <t>拉伸肩颈</t>
  </si>
  <si>
    <t>抖音直播2+1、团课月卡</t>
  </si>
  <si>
    <t>108622568457874
108622515310818</t>
  </si>
  <si>
    <t>全能小班50节</t>
  </si>
  <si>
    <t>等风</t>
  </si>
  <si>
    <t>润</t>
  </si>
  <si>
    <t>没基础想上进阶不回复</t>
  </si>
  <si>
    <t>先咨询出差去了</t>
  </si>
  <si>
    <t>0103791200860</t>
  </si>
  <si>
    <t>魏女士</t>
  </si>
  <si>
    <t>0105484570511</t>
  </si>
  <si>
    <t>Xenia</t>
  </si>
  <si>
    <t>器械课程</t>
  </si>
  <si>
    <t>黄慧玲</t>
  </si>
  <si>
    <t>肩颈手臂</t>
  </si>
  <si>
    <t>0107223272740</t>
  </si>
  <si>
    <t>普拉提练习</t>
  </si>
  <si>
    <t>0103399900271
0103264622571
0103111486171</t>
  </si>
  <si>
    <t>秋池</t>
  </si>
  <si>
    <t>膝盖内扣假胯宽</t>
  </si>
  <si>
    <t>0103690108191</t>
  </si>
  <si>
    <t>黄颖</t>
  </si>
  <si>
    <t>减脂肚子和背</t>
  </si>
  <si>
    <t>0107408227747
0107324257247
0107306551447</t>
  </si>
  <si>
    <t>丰女士</t>
  </si>
  <si>
    <t>室内蹦极普拉提</t>
  </si>
  <si>
    <t>品牌月活动卡</t>
  </si>
  <si>
    <t>俞樊</t>
  </si>
  <si>
    <t>塑形燃脂</t>
  </si>
  <si>
    <t>108702527776514</t>
  </si>
  <si>
    <t>严雯</t>
  </si>
  <si>
    <t>108696088950946</t>
  </si>
  <si>
    <t>只上了1节</t>
  </si>
  <si>
    <t>查达娟</t>
  </si>
  <si>
    <t>瘦肚子</t>
  </si>
  <si>
    <t>张腊</t>
  </si>
  <si>
    <t>器械类课程</t>
  </si>
  <si>
    <t>0108877415176
0109061010576
0108994218776</t>
  </si>
  <si>
    <t>木下</t>
  </si>
  <si>
    <t>yyuz1</t>
  </si>
  <si>
    <t>梁思思</t>
  </si>
  <si>
    <t>凯迪拉克体验</t>
  </si>
  <si>
    <t>练背部</t>
  </si>
  <si>
    <t>塑形团课</t>
  </si>
  <si>
    <t>103869084757122</t>
  </si>
  <si>
    <t>小蛋黄</t>
  </si>
  <si>
    <t>到店扫码付款小班周卡</t>
  </si>
  <si>
    <t>俞灿霞</t>
  </si>
  <si>
    <t>四月</t>
  </si>
  <si>
    <t>美团预约后到店参观还未上课</t>
  </si>
  <si>
    <t>Judy</t>
  </si>
  <si>
    <t>0111039056064</t>
  </si>
  <si>
    <t>贝拉</t>
  </si>
  <si>
    <t>108775885570978</t>
  </si>
  <si>
    <t>奚紫琼</t>
  </si>
  <si>
    <t>腹部肚子</t>
  </si>
  <si>
    <t>全能小班20次</t>
  </si>
  <si>
    <t>杨贺挺</t>
  </si>
  <si>
    <t>奚转介绍</t>
  </si>
  <si>
    <t>早睡的一天</t>
  </si>
  <si>
    <t>胯宽改善</t>
  </si>
  <si>
    <t>108709218063906</t>
  </si>
  <si>
    <t>朱莉</t>
  </si>
  <si>
    <t>陈珂</t>
  </si>
  <si>
    <t>肚子肩颈</t>
  </si>
  <si>
    <t>0102784699863</t>
  </si>
  <si>
    <t>栾小珂</t>
  </si>
  <si>
    <t>108808932956418</t>
  </si>
  <si>
    <t>私教20节</t>
  </si>
  <si>
    <t>孕期普拉提</t>
  </si>
  <si>
    <t>清明节值班无人</t>
  </si>
  <si>
    <t>美团孕产私教1节</t>
  </si>
  <si>
    <t>0109591776250</t>
  </si>
  <si>
    <t>贝贝</t>
  </si>
  <si>
    <t>肩颈体态</t>
  </si>
  <si>
    <t>伍蕊茜</t>
  </si>
  <si>
    <t>0108497947579
0108480555079
0108052839079</t>
  </si>
  <si>
    <t>新人特惠卡</t>
  </si>
  <si>
    <t>钟女士</t>
  </si>
  <si>
    <t>体验斯多特</t>
  </si>
  <si>
    <t>0105154082208</t>
  </si>
  <si>
    <t>刘诗雨</t>
  </si>
  <si>
    <t>普拉提腿和背</t>
  </si>
  <si>
    <t>叶女士</t>
  </si>
  <si>
    <t>肚子腿部练核心</t>
  </si>
  <si>
    <t>0105175859167</t>
  </si>
  <si>
    <t>俞瑾瑾</t>
  </si>
  <si>
    <t>有基础先体验</t>
  </si>
  <si>
    <t>哈他瑜伽</t>
  </si>
  <si>
    <t>0105532776711</t>
  </si>
  <si>
    <t>xu-小姣</t>
  </si>
  <si>
    <t>ini_</t>
  </si>
  <si>
    <t>雯雯</t>
  </si>
  <si>
    <t>YING</t>
  </si>
  <si>
    <t>邵启燊</t>
  </si>
  <si>
    <t>0106787320583</t>
  </si>
  <si>
    <t>。</t>
  </si>
  <si>
    <t>0102084997345</t>
  </si>
  <si>
    <t>xixi</t>
  </si>
  <si>
    <t>王女士介绍</t>
  </si>
  <si>
    <t>0105686305311</t>
  </si>
  <si>
    <t>虞靖燕</t>
  </si>
  <si>
    <t>腰背手臂</t>
  </si>
  <si>
    <t>抖音直播2+1</t>
  </si>
  <si>
    <t xml:space="preserve">
372.40</t>
  </si>
  <si>
    <t>108647033108546</t>
  </si>
  <si>
    <t>圆女士</t>
  </si>
  <si>
    <t>肩背私教</t>
  </si>
  <si>
    <t>0109336173168</t>
  </si>
  <si>
    <t>liyi</t>
  </si>
  <si>
    <t>郑女士</t>
  </si>
  <si>
    <t>午休上课</t>
  </si>
  <si>
    <t>悠悠</t>
  </si>
  <si>
    <t>紧致塑形</t>
  </si>
  <si>
    <t>0107535763538</t>
  </si>
  <si>
    <t>凯丽</t>
  </si>
  <si>
    <t>孕期私教</t>
  </si>
  <si>
    <t>阿橘</t>
  </si>
  <si>
    <t>0105277373278
0105187645578
0105159212478</t>
  </si>
  <si>
    <t>伍蕊茜朋友</t>
  </si>
  <si>
    <t>塑形维密小班课</t>
  </si>
  <si>
    <t xml:space="preserve"> 
0104549002212
0104540855412
0104516269312</t>
  </si>
  <si>
    <t>0106971238007
0106824395207
0106739278507</t>
  </si>
  <si>
    <t>最近时间对不上持续跟进中</t>
  </si>
  <si>
    <t>youyan</t>
  </si>
  <si>
    <t>马甲线</t>
  </si>
  <si>
    <t>私教咨询</t>
  </si>
  <si>
    <t>目前其他家有卡，先咨询</t>
  </si>
  <si>
    <t>付女士</t>
  </si>
  <si>
    <t>时间说不准要节后</t>
  </si>
  <si>
    <t>严女士</t>
  </si>
  <si>
    <t>0103883747326
0103878089426
0103825177226</t>
  </si>
  <si>
    <t>0107141811235</t>
  </si>
  <si>
    <t>保持锻炼</t>
  </si>
  <si>
    <t>0105663029988
0105661586788
0105351598888</t>
  </si>
  <si>
    <t>普拉提减脂</t>
  </si>
  <si>
    <t>美团普拉提私教1v2</t>
  </si>
  <si>
    <t>0103801168491</t>
  </si>
  <si>
    <t>杜女士</t>
  </si>
  <si>
    <t>节后约</t>
  </si>
  <si>
    <t>下周末</t>
  </si>
  <si>
    <t>0105047989292
0104985365092
0104855681692</t>
  </si>
  <si>
    <t>0104269055605</t>
  </si>
  <si>
    <t>工作日晚上无入门室内蹦极</t>
  </si>
  <si>
    <t>杨清群</t>
  </si>
  <si>
    <t>美团小班3次卡+产后私教1节</t>
  </si>
  <si>
    <t>189.99+287</t>
  </si>
  <si>
    <t xml:space="preserve"> 0106594615610
0106481087410
0106461192510
0106454836010</t>
  </si>
  <si>
    <t>范纾涵</t>
  </si>
  <si>
    <t>产后约的婷婷面谈</t>
  </si>
  <si>
    <t>馆主私教30节</t>
  </si>
  <si>
    <t>托托</t>
  </si>
  <si>
    <t>王静</t>
  </si>
  <si>
    <t>美团小班课3次卡</t>
  </si>
  <si>
    <t>0107293502994
0107509880894
0107207318894</t>
  </si>
  <si>
    <t>叶释晶</t>
  </si>
  <si>
    <t>瑜伽体验</t>
  </si>
  <si>
    <t>瑜伽团课</t>
  </si>
  <si>
    <t>0107705823297</t>
  </si>
  <si>
    <t>阿拉蕾</t>
  </si>
  <si>
    <t>生理期约下周</t>
  </si>
  <si>
    <t>yoyo</t>
  </si>
  <si>
    <t>0103752452871
0103697027271
0103689899471</t>
  </si>
  <si>
    <t>产后体态</t>
  </si>
  <si>
    <t>0105041673566</t>
  </si>
  <si>
    <t>董葭绮</t>
  </si>
  <si>
    <t>增肌改善体态</t>
  </si>
  <si>
    <t>0105157180108</t>
  </si>
  <si>
    <t>10节私教</t>
  </si>
  <si>
    <t>李薇</t>
  </si>
  <si>
    <t>来宁波出差的</t>
  </si>
  <si>
    <t>0105315723334</t>
  </si>
  <si>
    <t>习习中</t>
  </si>
  <si>
    <t>室内蹦极空中瑜伽</t>
  </si>
  <si>
    <t>想要1v2下周</t>
  </si>
  <si>
    <t>出国了，下周</t>
  </si>
  <si>
    <t>静香香香</t>
  </si>
  <si>
    <t>周四下午无小班课</t>
  </si>
  <si>
    <t>0104704848412</t>
  </si>
  <si>
    <t>丁丁</t>
  </si>
  <si>
    <t>0102286307945</t>
  </si>
  <si>
    <t>zoba</t>
  </si>
  <si>
    <t>课程体验</t>
  </si>
  <si>
    <t>小班课1次</t>
  </si>
  <si>
    <t>0102431913695</t>
  </si>
  <si>
    <t>美团月卡1张</t>
  </si>
  <si>
    <t>汪娟</t>
  </si>
  <si>
    <t>空中瑜伽小班</t>
  </si>
  <si>
    <t>0105732539748
0105655187748
0105642013248</t>
  </si>
  <si>
    <t>瘦身减脂</t>
  </si>
  <si>
    <t>大姨妈</t>
  </si>
  <si>
    <t>小基数塑形</t>
  </si>
  <si>
    <t>0109145981400</t>
  </si>
  <si>
    <t>陈泽</t>
  </si>
  <si>
    <t>器械和室内蹦极</t>
  </si>
  <si>
    <t>美团小班课1节</t>
  </si>
  <si>
    <t>0108817804930</t>
  </si>
  <si>
    <t>黄图图</t>
  </si>
  <si>
    <t>体态改善</t>
  </si>
  <si>
    <t>王煜</t>
  </si>
  <si>
    <t>私教30节13999</t>
  </si>
  <si>
    <t>0101847213790</t>
  </si>
  <si>
    <t>申女士</t>
  </si>
  <si>
    <t>0103931109491</t>
  </si>
  <si>
    <t>贾女士</t>
  </si>
  <si>
    <t>0105736582488</t>
  </si>
  <si>
    <t>大花</t>
  </si>
  <si>
    <t>安琪</t>
  </si>
  <si>
    <t>张依盈</t>
  </si>
  <si>
    <t>到店评估后约第二天课</t>
  </si>
  <si>
    <t>评估体测1次+抖音小班3次卡</t>
  </si>
  <si>
    <t>19.9+52.6+52.59</t>
  </si>
  <si>
    <t>0105271547167
109464434148370</t>
  </si>
  <si>
    <t>抖音一次一核销</t>
  </si>
  <si>
    <t>张夏琳</t>
  </si>
  <si>
    <t>52.6+52.59</t>
  </si>
  <si>
    <t>109481346089410</t>
  </si>
  <si>
    <t>saaaaa</t>
  </si>
  <si>
    <t>大四学生，下周回来再约后面的课，了解私教和时间卡</t>
  </si>
  <si>
    <t>美团新手入门体验卡</t>
  </si>
  <si>
    <t>0103213601920
0103413196420
0103405238220
0103403465120
0103390122420</t>
  </si>
  <si>
    <t>课没开起来</t>
  </si>
  <si>
    <t>乐珂瑜</t>
  </si>
  <si>
    <t>全能小班特惠卡</t>
  </si>
  <si>
    <t>5200+520</t>
  </si>
  <si>
    <t>林悦</t>
  </si>
  <si>
    <t>0105184723544</t>
  </si>
  <si>
    <t>顾客已上2次</t>
  </si>
  <si>
    <t>凌女士</t>
  </si>
  <si>
    <t>普拉提器械</t>
  </si>
  <si>
    <t>塑形小班课</t>
  </si>
  <si>
    <t>0103994903726</t>
  </si>
  <si>
    <t>汪先生</t>
  </si>
  <si>
    <t>核心拉伸</t>
  </si>
  <si>
    <t>1v1私教</t>
  </si>
  <si>
    <t>0105127958633</t>
  </si>
  <si>
    <t>临时取消没分客资</t>
  </si>
  <si>
    <t>小蔡</t>
  </si>
  <si>
    <t>临时取消无跟进</t>
  </si>
  <si>
    <t>塑形翘臀</t>
  </si>
  <si>
    <t>周琳</t>
  </si>
  <si>
    <t>109589136231234
109596324635810</t>
  </si>
  <si>
    <t>雨馨研</t>
  </si>
  <si>
    <t>小可</t>
  </si>
  <si>
    <t>体态室内蹦极</t>
  </si>
  <si>
    <t>阿龙</t>
  </si>
  <si>
    <t>0105075509356</t>
  </si>
  <si>
    <t>CC朋友</t>
  </si>
  <si>
    <t>何女士</t>
  </si>
  <si>
    <t>汪女士</t>
  </si>
  <si>
    <t>0105684246348
0105794465448
0105670914548</t>
  </si>
  <si>
    <t>0102977672939
0102876178539
0102842877739</t>
  </si>
  <si>
    <t>jojo</t>
  </si>
  <si>
    <t>瘦四肢肌肉</t>
  </si>
  <si>
    <t>0105483316448
0105650940548
0105716465348</t>
  </si>
  <si>
    <t>谢姐姐</t>
  </si>
  <si>
    <t>0102847364287</t>
  </si>
  <si>
    <t>顾客要求上一核一</t>
  </si>
  <si>
    <t>临时取消无跟进退群了</t>
  </si>
  <si>
    <t>Candice</t>
  </si>
  <si>
    <t>倾城</t>
  </si>
  <si>
    <t>要7月份</t>
  </si>
  <si>
    <t>白</t>
  </si>
  <si>
    <t>体态调整臀部</t>
  </si>
  <si>
    <t>0108913938279</t>
  </si>
  <si>
    <t>任小姐</t>
  </si>
  <si>
    <t>把杆和空中</t>
  </si>
  <si>
    <t>已到店参观跟进约课中</t>
  </si>
  <si>
    <t>潇潇</t>
  </si>
  <si>
    <t>0108708765596 
0108622378596
0108709597796</t>
  </si>
  <si>
    <t>瑾璱</t>
  </si>
  <si>
    <t>孕期瑜伽</t>
  </si>
  <si>
    <t>angel-月八</t>
  </si>
  <si>
    <t>BOB</t>
  </si>
  <si>
    <t>belle</t>
  </si>
  <si>
    <t>核心床下肢小班</t>
  </si>
  <si>
    <t>0110946664264</t>
  </si>
  <si>
    <t>王琳</t>
  </si>
  <si>
    <t>垫上普拉提团课</t>
  </si>
  <si>
    <t>109148848053186
121917679335554
121878985450674</t>
  </si>
  <si>
    <t>李平盈</t>
  </si>
  <si>
    <t>0104324405181
0104343657781
0104356579681</t>
  </si>
  <si>
    <t>Kelly</t>
  </si>
  <si>
    <t>0105132536333</t>
  </si>
  <si>
    <t>王丹妮</t>
  </si>
  <si>
    <t>158255744203</t>
  </si>
  <si>
    <t>转介绍（贾俊玲）</t>
  </si>
  <si>
    <t>还剩最后一次课，临时取消</t>
  </si>
  <si>
    <t>茜茜</t>
  </si>
  <si>
    <t>腰部酸痛增肌</t>
  </si>
  <si>
    <t>马铃薯</t>
  </si>
  <si>
    <t>0103454754073</t>
  </si>
  <si>
    <t>Helen</t>
  </si>
  <si>
    <t>小班和室内蹦极</t>
  </si>
  <si>
    <t>产后塑形体态调整</t>
  </si>
  <si>
    <t>0109604553365</t>
  </si>
  <si>
    <t>盈盈</t>
  </si>
  <si>
    <t>周.</t>
  </si>
  <si>
    <t>棉花糖软绵绵</t>
  </si>
  <si>
    <t>久坐、艾扬格</t>
  </si>
  <si>
    <t>临时约课约满了</t>
  </si>
  <si>
    <t>汀</t>
  </si>
  <si>
    <t>。。。。。</t>
  </si>
  <si>
    <t>徐女士妈妈</t>
  </si>
  <si>
    <t>膝关节疼痛腰背力量</t>
  </si>
  <si>
    <t>0104220146691</t>
  </si>
  <si>
    <t>倪安珍女儿</t>
  </si>
  <si>
    <t>驼背脖子前倾</t>
  </si>
  <si>
    <t>0106222755384</t>
  </si>
  <si>
    <t>刘悦</t>
  </si>
  <si>
    <t>7.12以后服务老师无跟进</t>
  </si>
  <si>
    <t>0102760258795
0102726633695
0102647308895</t>
  </si>
  <si>
    <t>王诗潼</t>
  </si>
  <si>
    <t>7.12服务老师无跟进</t>
  </si>
  <si>
    <t xml:space="preserve"> 0105747377508
0105666770208
0105465805008</t>
  </si>
  <si>
    <t>毛嘉勒</t>
  </si>
  <si>
    <t>122148349717698</t>
  </si>
  <si>
    <t>程思</t>
  </si>
  <si>
    <t>122209481658770</t>
  </si>
  <si>
    <t>柔韧性差瑜伽</t>
  </si>
  <si>
    <t>舒缓拉伸团课</t>
  </si>
  <si>
    <t>0104438992491</t>
  </si>
  <si>
    <t>小居</t>
  </si>
  <si>
    <t>医院检查完约课</t>
  </si>
  <si>
    <t>整体线条翘臀</t>
  </si>
  <si>
    <t>台风天取消</t>
  </si>
  <si>
    <t>郑妩爽</t>
  </si>
  <si>
    <t>112238641107266
122730325943810
122899172040834</t>
  </si>
  <si>
    <t>cloris</t>
  </si>
  <si>
    <t>sgr</t>
  </si>
  <si>
    <t>江女士</t>
  </si>
  <si>
    <t>0103608635543</t>
  </si>
  <si>
    <t>只上一次</t>
  </si>
  <si>
    <t>洪柳霞</t>
  </si>
  <si>
    <t>器械体验</t>
  </si>
  <si>
    <t>0103866330873
0103930749373
0104094902273</t>
  </si>
  <si>
    <t>全能小班26节</t>
  </si>
  <si>
    <t>辣味酷盖</t>
  </si>
  <si>
    <t>时间不确定</t>
  </si>
  <si>
    <t>先之</t>
  </si>
  <si>
    <t>臀腿上肢侧腹</t>
  </si>
  <si>
    <t>林茹</t>
  </si>
  <si>
    <t>体态调整减脂</t>
  </si>
  <si>
    <t>122528495230914</t>
  </si>
  <si>
    <t>0105461850809</t>
  </si>
  <si>
    <t>艾米</t>
  </si>
  <si>
    <t>住潘火 距离时间</t>
  </si>
  <si>
    <t>核心床小班课</t>
  </si>
  <si>
    <t>0110586105442
0110509603542
0109807507342</t>
  </si>
  <si>
    <t>备孕拉伸</t>
  </si>
  <si>
    <t>122561609774914</t>
  </si>
  <si>
    <t>只上了一次</t>
  </si>
  <si>
    <t>Zoieee</t>
  </si>
  <si>
    <t>北仑搬市区在考虑</t>
  </si>
  <si>
    <t>顺顺</t>
  </si>
  <si>
    <t>背疼恢复练习</t>
  </si>
  <si>
    <t>0106235749411</t>
  </si>
  <si>
    <t>阅阅</t>
  </si>
  <si>
    <t>室内蹦极把杆</t>
  </si>
  <si>
    <t>晚上无教室室内蹦极私教</t>
  </si>
  <si>
    <t>a.</t>
  </si>
  <si>
    <t>普拉提臀部</t>
  </si>
  <si>
    <t>0108186900947
0108262778547 
0107820955847</t>
  </si>
  <si>
    <t>沈文婕</t>
  </si>
  <si>
    <t>122671698869058</t>
  </si>
  <si>
    <t>折合1小班1团课，下一次全核销</t>
  </si>
  <si>
    <t>小柳</t>
  </si>
  <si>
    <t>抖音小班单次卡</t>
  </si>
  <si>
    <t>122793996290754</t>
  </si>
  <si>
    <t>李怡璇</t>
  </si>
  <si>
    <t>122658076096450</t>
  </si>
  <si>
    <t>小班＋团课</t>
  </si>
  <si>
    <t>杨冬青</t>
  </si>
  <si>
    <t>0106290598888</t>
  </si>
  <si>
    <t>硕果</t>
  </si>
  <si>
    <t>丹dan</t>
  </si>
  <si>
    <t>岚岚呀</t>
  </si>
  <si>
    <t>探店的</t>
  </si>
  <si>
    <t>艾扬格私教</t>
  </si>
  <si>
    <t>0106177174388</t>
  </si>
  <si>
    <t>小班课</t>
  </si>
  <si>
    <t>觉得我们小班课人多不来</t>
  </si>
  <si>
    <t>高欣</t>
  </si>
  <si>
    <t>室内蹦极颂钵</t>
  </si>
  <si>
    <t>出差</t>
  </si>
  <si>
    <t>0110165873950</t>
  </si>
  <si>
    <t>小班课咨询</t>
  </si>
  <si>
    <t>对比蔓陀拉价格不来了</t>
  </si>
  <si>
    <t>普拉提减脂塑型</t>
  </si>
  <si>
    <t>靳滨嘉</t>
  </si>
  <si>
    <t>0103861932955</t>
  </si>
  <si>
    <t>吕女士</t>
  </si>
  <si>
    <t>开肩开髋团课</t>
  </si>
  <si>
    <t>马姐</t>
  </si>
  <si>
    <t>123148068386114
122974887023234
122734407199618</t>
  </si>
  <si>
    <t>浅汐</t>
  </si>
  <si>
    <t>冰糖雪梨</t>
  </si>
  <si>
    <t>林娜</t>
  </si>
  <si>
    <t>产后普拉提私教</t>
  </si>
  <si>
    <t>0104018939662</t>
  </si>
  <si>
    <t>私教＋小班</t>
  </si>
  <si>
    <t>zhang</t>
  </si>
  <si>
    <t>任婷</t>
  </si>
  <si>
    <t>心如止水</t>
  </si>
  <si>
    <t>张鱼小丸子</t>
  </si>
  <si>
    <t>cici</t>
  </si>
  <si>
    <t>腰腹臀腿减脂</t>
  </si>
  <si>
    <t>122969179447810
123048117914306
123020345175618</t>
  </si>
  <si>
    <t>张璐</t>
  </si>
  <si>
    <t>122893237082306
123053570613442</t>
  </si>
  <si>
    <t>珠珠</t>
  </si>
  <si>
    <t>维密燃脂小班课</t>
  </si>
  <si>
    <t>0105437060766
0105482210366
0105437060766</t>
  </si>
  <si>
    <t>李的女儿小陆</t>
  </si>
  <si>
    <t>形体体态</t>
  </si>
  <si>
    <t>娇娇</t>
  </si>
  <si>
    <t>1女儿体态，2女儿10月份生完产后</t>
  </si>
  <si>
    <t>0110994396127</t>
  </si>
  <si>
    <t>私教50节付了定金5k</t>
  </si>
  <si>
    <t>董锦</t>
  </si>
  <si>
    <t>全身塑形</t>
  </si>
  <si>
    <t>123302134296322</t>
  </si>
  <si>
    <t>私教半年卡</t>
  </si>
  <si>
    <t>小夏</t>
  </si>
  <si>
    <t>0110160776946</t>
  </si>
  <si>
    <t>九月烈烈藕</t>
  </si>
  <si>
    <t>小美</t>
  </si>
  <si>
    <t>0104011061919</t>
  </si>
  <si>
    <t>译心</t>
  </si>
  <si>
    <t>123059306396098</t>
  </si>
  <si>
    <t>诺一</t>
  </si>
  <si>
    <t>128316666951426
122318078529026</t>
  </si>
  <si>
    <t>眉mmm</t>
  </si>
  <si>
    <t>肩背减脂塑型</t>
  </si>
  <si>
    <t>周末有空</t>
  </si>
  <si>
    <t>唐璐</t>
  </si>
  <si>
    <t>0105329730266</t>
  </si>
  <si>
    <t>月姐</t>
  </si>
  <si>
    <t>0110400451846</t>
  </si>
  <si>
    <t>陈宣宣</t>
  </si>
  <si>
    <t>买了299</t>
  </si>
  <si>
    <t>微私教</t>
  </si>
  <si>
    <t>127318139900226</t>
  </si>
  <si>
    <t>还剩2次</t>
  </si>
  <si>
    <t>岚岚</t>
  </si>
  <si>
    <t>肩颈瑜伽</t>
  </si>
  <si>
    <t>肩背团课</t>
  </si>
  <si>
    <t>122720180365346
123229477816178</t>
  </si>
  <si>
    <t>赵笑然</t>
  </si>
  <si>
    <t>洪海芝</t>
  </si>
  <si>
    <t>白玫瑰</t>
  </si>
  <si>
    <t>牛晓琳</t>
  </si>
  <si>
    <t>小希</t>
  </si>
  <si>
    <t>肩颈塑形</t>
  </si>
  <si>
    <t>若兮</t>
  </si>
  <si>
    <t>123349864406018</t>
  </si>
  <si>
    <t>柚子</t>
  </si>
  <si>
    <t>安安</t>
  </si>
  <si>
    <t>台风天取消无跟进</t>
  </si>
  <si>
    <t>suio</t>
  </si>
  <si>
    <t>这周姨妈下周</t>
  </si>
  <si>
    <t>月月</t>
  </si>
  <si>
    <t>瑜伽普拉提</t>
  </si>
  <si>
    <t>8.18后无跟进</t>
  </si>
  <si>
    <t>123183265423618</t>
  </si>
  <si>
    <t>普拉提肩颈腰腹</t>
  </si>
  <si>
    <t>抖音私教1v2单节</t>
  </si>
  <si>
    <t>123356098729794</t>
  </si>
  <si>
    <t>裴女士</t>
  </si>
  <si>
    <t>抖音小班3次周卡</t>
  </si>
  <si>
    <t>123368374436274</t>
  </si>
  <si>
    <t>小郭</t>
  </si>
  <si>
    <t>下半身梨形</t>
  </si>
  <si>
    <t>123615860883586</t>
  </si>
  <si>
    <t>8.17后群内无跟进</t>
  </si>
  <si>
    <t>123135551894242</t>
  </si>
  <si>
    <t>Jessie</t>
  </si>
  <si>
    <t>赵鑫</t>
  </si>
  <si>
    <t>抖音小班1+团1</t>
  </si>
  <si>
    <t>123328409302594
123388482974594</t>
  </si>
  <si>
    <t>尹丽婷</t>
  </si>
  <si>
    <t>肩颈腿粗</t>
  </si>
  <si>
    <t>怡re</t>
  </si>
  <si>
    <t>探价格的</t>
  </si>
  <si>
    <t>田成成</t>
  </si>
  <si>
    <t>肩背和臀</t>
  </si>
  <si>
    <t>299活动卡</t>
  </si>
  <si>
    <t>陈叶楠</t>
  </si>
  <si>
    <t>转介绍（田成成）</t>
  </si>
  <si>
    <t>mia</t>
  </si>
  <si>
    <t>要周末早上上课</t>
  </si>
  <si>
    <t>小霞</t>
  </si>
  <si>
    <t>Sherry</t>
  </si>
  <si>
    <t>郑晶文</t>
  </si>
  <si>
    <t>午休体验</t>
  </si>
  <si>
    <t>小班限次年卡</t>
  </si>
  <si>
    <t>yuumi</t>
  </si>
  <si>
    <t>孕妇私教</t>
  </si>
  <si>
    <t>课程不满意，预约25日婷婷</t>
  </si>
  <si>
    <t>0104193168855</t>
  </si>
  <si>
    <t>Bella</t>
  </si>
  <si>
    <t>0103758448653</t>
  </si>
  <si>
    <t>买了小班3次卡无回复</t>
  </si>
  <si>
    <t>小董</t>
  </si>
  <si>
    <t>私教和小班</t>
  </si>
  <si>
    <t>有点像探子</t>
  </si>
  <si>
    <t>miki</t>
  </si>
  <si>
    <t>0105644908733</t>
  </si>
  <si>
    <t>觉得不适合后面2次退了</t>
  </si>
  <si>
    <t>xinping</t>
  </si>
  <si>
    <t>肩和腰</t>
  </si>
  <si>
    <t>暑假比较忙</t>
  </si>
  <si>
    <t>探子</t>
  </si>
  <si>
    <t>王雨欣</t>
  </si>
  <si>
    <t>减脂体态</t>
  </si>
  <si>
    <t>微私教体验</t>
  </si>
  <si>
    <t>赛女士</t>
  </si>
  <si>
    <t>0103523641024</t>
  </si>
  <si>
    <t>还剩2次，客户要求一次一核</t>
  </si>
  <si>
    <t>增加核心力量</t>
  </si>
  <si>
    <t>123664146987042</t>
  </si>
  <si>
    <t>99定金</t>
  </si>
  <si>
    <t>是你的酒窝</t>
  </si>
  <si>
    <t>抖音拍单信息无回复</t>
  </si>
  <si>
    <t>小木</t>
  </si>
  <si>
    <t>体态含胸驼背</t>
  </si>
  <si>
    <t>来例假改约</t>
  </si>
  <si>
    <t>谢彩波</t>
  </si>
  <si>
    <t>体测参观</t>
  </si>
  <si>
    <t>内观流室内蹦极</t>
  </si>
  <si>
    <t>ceci</t>
  </si>
  <si>
    <t>颂钵疗愈小班</t>
  </si>
  <si>
    <t>0105020121460</t>
  </si>
  <si>
    <t>江俊俏</t>
  </si>
  <si>
    <t>教培咨询</t>
  </si>
  <si>
    <t>在职时间不方便</t>
  </si>
  <si>
    <t>房远</t>
  </si>
  <si>
    <t>小班课和团课体验</t>
  </si>
  <si>
    <t>一切安好</t>
  </si>
  <si>
    <t>参观了解</t>
  </si>
  <si>
    <t>可乐姜汁</t>
  </si>
  <si>
    <t>楠</t>
  </si>
  <si>
    <t>核心缓解久坐</t>
  </si>
  <si>
    <t>闫女士</t>
  </si>
  <si>
    <t>在籍会员跟进表（月更新）</t>
  </si>
  <si>
    <t xml:space="preserve"> 顾问部：张炎  </t>
  </si>
  <si>
    <t>持有卡项种类及余额（月跟进一次提交）
末次更新时间2024/4/12</t>
  </si>
  <si>
    <t>跟进状态：
正常（正常练习频次，无客诉，无变动）
异常（练习停止，或其他情况，跟进备注）
危险（信息不回复，超过30天未上课，跟进备注）</t>
  </si>
  <si>
    <t>入会时间</t>
  </si>
  <si>
    <t>顾问</t>
  </si>
  <si>
    <t>周上课频次</t>
  </si>
  <si>
    <t>主教练</t>
  </si>
  <si>
    <t>副教练</t>
  </si>
  <si>
    <t>预计下次成交时间</t>
  </si>
  <si>
    <t>成交卡项</t>
  </si>
  <si>
    <t>精品小班</t>
  </si>
  <si>
    <t>最近一次跟进时间</t>
  </si>
  <si>
    <t>状态</t>
  </si>
  <si>
    <t>跟进备注</t>
  </si>
  <si>
    <t>A</t>
  </si>
  <si>
    <t>24年9月</t>
  </si>
  <si>
    <t>定制私教30节</t>
  </si>
  <si>
    <t>私教小班10次</t>
  </si>
  <si>
    <t>精品小班年卡85天</t>
  </si>
  <si>
    <t>活跃</t>
  </si>
  <si>
    <t>私教小班8次</t>
  </si>
  <si>
    <t>精品小班10次</t>
  </si>
  <si>
    <t>定制私教10节（升级成70节）</t>
  </si>
  <si>
    <t>全能小班10次</t>
  </si>
  <si>
    <t>精品小班30天</t>
  </si>
  <si>
    <t>定制私教12节+全能小班12节</t>
  </si>
  <si>
    <t>私教小班15节</t>
  </si>
  <si>
    <t>精品小班15次</t>
  </si>
  <si>
    <t>郑微（东部店）</t>
  </si>
  <si>
    <t>刘婉妃（东部店）</t>
  </si>
  <si>
    <t>周静（东部店）</t>
  </si>
  <si>
    <t>全能小班12节</t>
  </si>
  <si>
    <t>私教小班25节</t>
  </si>
  <si>
    <t>定制私教25节</t>
  </si>
  <si>
    <t>11.11办理双十一活动1111卡项</t>
  </si>
  <si>
    <t>江景怡（东部店）</t>
  </si>
  <si>
    <t>精品团课30节</t>
  </si>
  <si>
    <t>梓欣（东部店）</t>
  </si>
  <si>
    <t>私教月卡（最多约8节）</t>
  </si>
  <si>
    <t>陈海燕（东部店）</t>
  </si>
  <si>
    <t>定制私教35节</t>
  </si>
  <si>
    <t>郭聪聪（东部店）</t>
  </si>
  <si>
    <t>毛微辉（东部店）</t>
  </si>
  <si>
    <t>精品团课10节</t>
  </si>
  <si>
    <t>屠遇佳（东部店）</t>
  </si>
  <si>
    <t>新人卡</t>
  </si>
  <si>
    <t>胡女士（sandy）</t>
  </si>
  <si>
    <t>陈文婷（东部店）</t>
  </si>
  <si>
    <t>Vinci（东部店）</t>
  </si>
  <si>
    <t>吕妙妙（东部店）</t>
  </si>
  <si>
    <t>林烨（东部店）</t>
  </si>
  <si>
    <t>私教小班60节</t>
  </si>
  <si>
    <t>阿玉/嘉欣</t>
  </si>
  <si>
    <t>张一丹（东部）</t>
  </si>
  <si>
    <t>魏桢（东部）</t>
  </si>
  <si>
    <t>宠粉活动私教</t>
  </si>
  <si>
    <t>定制私教12节+全能小班</t>
  </si>
  <si>
    <t>冰璐/娟子</t>
  </si>
  <si>
    <t>白领年卡先付6个月</t>
  </si>
  <si>
    <t>杜盈（东部店）</t>
  </si>
  <si>
    <t>新人套餐私教</t>
  </si>
  <si>
    <t>蔡东笑（东部店）</t>
  </si>
  <si>
    <t>李雪（东部店）</t>
  </si>
  <si>
    <t>戴柳红（东部店）</t>
  </si>
  <si>
    <t>王芳莹（东部店)</t>
  </si>
  <si>
    <t>孔欣航（东部店）</t>
  </si>
  <si>
    <t>查娟（东部店）</t>
  </si>
  <si>
    <t>冰璐/黄敏</t>
  </si>
  <si>
    <t>栾小珂（东部店）</t>
  </si>
  <si>
    <t>奚紫琼（东部店）</t>
  </si>
  <si>
    <t>邵启燊（东部店）</t>
  </si>
  <si>
    <t>俞樊(东部店）</t>
  </si>
  <si>
    <t>唐思圆（东部店）</t>
  </si>
  <si>
    <t>伍蕊茜（东部店）</t>
  </si>
  <si>
    <t>范纾涵（东部店）</t>
  </si>
  <si>
    <t>馆主私教</t>
  </si>
  <si>
    <t>董葭绮（东部店）</t>
  </si>
  <si>
    <t>zoba（东部店）</t>
  </si>
  <si>
    <t>汪娟（东部店）</t>
  </si>
  <si>
    <t>6.10升级</t>
  </si>
  <si>
    <t>鲍梦怡（东部店）</t>
  </si>
  <si>
    <t>乐珂瑜（东部店）</t>
  </si>
  <si>
    <t>全能小班卡</t>
  </si>
  <si>
    <t>张艳东</t>
  </si>
  <si>
    <t>折算16节私教</t>
  </si>
  <si>
    <t>定制私教30节先付一半</t>
  </si>
  <si>
    <t>私教新人套餐</t>
  </si>
  <si>
    <t>1010元</t>
  </si>
  <si>
    <t>缪燕</t>
  </si>
  <si>
    <t>2张月卡折合16次私教</t>
  </si>
  <si>
    <t>王煜（东部店)</t>
  </si>
  <si>
    <t>林茹（东部店）</t>
  </si>
  <si>
    <t>折算18节私教</t>
  </si>
  <si>
    <t>杨冬青（东部店）</t>
  </si>
  <si>
    <t>郑妩爽（东部店）</t>
  </si>
  <si>
    <t>林娜（东部店)</t>
  </si>
  <si>
    <t>小班课+私教</t>
  </si>
  <si>
    <t>李的女儿小陆（东部店）</t>
  </si>
  <si>
    <t>已付5k定金 上课补齐</t>
  </si>
  <si>
    <t>定制私教50节</t>
  </si>
  <si>
    <t>cici（东部店）</t>
  </si>
  <si>
    <t>董锦（东部店）</t>
  </si>
  <si>
    <t>李怡璇（东部店）</t>
  </si>
  <si>
    <t>小班加团课</t>
  </si>
  <si>
    <t>洪柳霞（东部店）</t>
  </si>
  <si>
    <t>唐璐（东部店）</t>
  </si>
  <si>
    <t>郑晶文（东部店）</t>
  </si>
  <si>
    <t>新媒体月度数据表</t>
  </si>
  <si>
    <t>视频号播放量</t>
  </si>
  <si>
    <t>留资人数</t>
  </si>
  <si>
    <t>实际到店人数(绿地）</t>
  </si>
  <si>
    <t>实际到店人数(东部）</t>
  </si>
  <si>
    <t>线上核销金额</t>
  </si>
  <si>
    <t>成交人数（绿地）</t>
  </si>
  <si>
    <t>成交人数（东部）</t>
  </si>
  <si>
    <t>成交总金额</t>
  </si>
  <si>
    <t>成交转化率</t>
  </si>
  <si>
    <t>线上核销金额（绿地店）</t>
  </si>
  <si>
    <t>线上核销金额（东部店）</t>
  </si>
  <si>
    <t>成交转化率（绿地店）</t>
  </si>
  <si>
    <t>成交转化率（东部店）</t>
  </si>
  <si>
    <t>25+41</t>
  </si>
  <si>
    <t>48+59</t>
  </si>
  <si>
    <t>43+59</t>
  </si>
  <si>
    <t>联系方式</t>
  </si>
  <si>
    <t>新老会员</t>
  </si>
  <si>
    <t>购买卡项</t>
  </si>
  <si>
    <t>顾客实付</t>
  </si>
  <si>
    <t>所属门店</t>
  </si>
  <si>
    <t>王燕</t>
  </si>
  <si>
    <t>全能小班36节半年卡</t>
  </si>
  <si>
    <t>4090.98元</t>
  </si>
  <si>
    <t>东部</t>
  </si>
  <si>
    <t>竺爱华</t>
  </si>
  <si>
    <t>私教3节</t>
  </si>
  <si>
    <t>718元</t>
  </si>
  <si>
    <t>绿地</t>
  </si>
  <si>
    <t>芷晴</t>
  </si>
  <si>
    <t>团购新客专享已退款</t>
  </si>
  <si>
    <t>姜宝颖</t>
  </si>
  <si>
    <t>访客</t>
  </si>
  <si>
    <t>715.8元</t>
  </si>
  <si>
    <t>王婧</t>
  </si>
  <si>
    <t>653.1元</t>
  </si>
  <si>
    <t>朱丹萍</t>
  </si>
  <si>
    <t>4087.3元</t>
  </si>
  <si>
    <t>已退款买了线下</t>
  </si>
  <si>
    <t>徐柳</t>
  </si>
  <si>
    <t>1543.8元</t>
  </si>
  <si>
    <t>1571.6元</t>
  </si>
  <si>
    <t>号码加不上打电话</t>
  </si>
  <si>
    <t>710.26元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</si>
</sst>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.00_ "/>
  </numFmts>
  <fonts count="36">
    <font>
      <sz val="12"/>
      <name val="宋体"/>
      <charset val="134"/>
    </font>
    <font>
      <b/>
      <sz val="12"/>
      <name val="宋体"/>
      <charset val="134"/>
    </font>
    <font>
      <b/>
      <sz val="20"/>
      <name val="宋体"/>
      <charset val="134"/>
    </font>
    <font>
      <sz val="24"/>
      <name val="黑体"/>
      <charset val="134"/>
    </font>
    <font>
      <sz val="12"/>
      <name val="黑体"/>
      <charset val="134"/>
    </font>
    <font>
      <sz val="12"/>
      <color theme="4"/>
      <name val="黑体"/>
      <charset val="134"/>
    </font>
    <font>
      <b/>
      <sz val="24"/>
      <color rgb="FF000000"/>
      <name val="黑体"/>
      <charset val="134"/>
    </font>
    <font>
      <sz val="16"/>
      <color rgb="FF000000"/>
      <name val="黑体"/>
      <charset val="134"/>
    </font>
    <font>
      <sz val="12"/>
      <color rgb="FF000000"/>
      <name val="黑体"/>
      <charset val="134"/>
    </font>
    <font>
      <sz val="12"/>
      <color theme="1"/>
      <name val="黑体"/>
      <charset val="134"/>
    </font>
    <font>
      <sz val="12"/>
      <color rgb="FFFF0000"/>
      <name val="黑体"/>
      <charset val="134"/>
    </font>
    <font>
      <b/>
      <sz val="36"/>
      <color theme="1"/>
      <name val="黑体"/>
      <charset val="134"/>
    </font>
    <font>
      <b/>
      <sz val="20"/>
      <color theme="1"/>
      <name val="黑体"/>
      <charset val="134"/>
    </font>
    <font>
      <b/>
      <u/>
      <sz val="20"/>
      <color theme="1"/>
      <name val="黑体"/>
      <charset val="134"/>
    </font>
    <font>
      <b/>
      <sz val="20"/>
      <color theme="7" tint="0.4"/>
      <name val="黑体"/>
      <charset val="134"/>
    </font>
    <font>
      <b/>
      <sz val="20"/>
      <color rgb="FFFF0000"/>
      <name val="黑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20" applyNumberFormat="0" applyAlignment="0" applyProtection="0">
      <alignment vertical="center"/>
    </xf>
    <xf numFmtId="0" fontId="26" fillId="4" borderId="21" applyNumberFormat="0" applyAlignment="0" applyProtection="0">
      <alignment vertical="center"/>
    </xf>
    <xf numFmtId="0" fontId="27" fillId="4" borderId="20" applyNumberFormat="0" applyAlignment="0" applyProtection="0">
      <alignment vertical="center"/>
    </xf>
    <xf numFmtId="0" fontId="28" fillId="10" borderId="22" applyNumberFormat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57" fontId="0" fillId="0" borderId="0" xfId="0" applyNumberFormat="1" applyAlignment="1">
      <alignment horizontal="center" vertical="center"/>
    </xf>
    <xf numFmtId="57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57" fontId="0" fillId="0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58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58" fontId="4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58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2" fontId="4" fillId="2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5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22" fontId="4" fillId="3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58" fontId="9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1" fillId="0" borderId="0" xfId="0" applyFont="1" applyFill="1" applyAlignment="1"/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Alignment="1"/>
    <xf numFmtId="0" fontId="11" fillId="0" borderId="0" xfId="0" applyFont="1" applyFill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58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58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58" fontId="12" fillId="5" borderId="1" xfId="0" applyNumberFormat="1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/>
    </xf>
    <xf numFmtId="0" fontId="12" fillId="0" borderId="10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4" fillId="0" borderId="1" xfId="0" applyFont="1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 wrapText="1"/>
    </xf>
    <xf numFmtId="0" fontId="4" fillId="0" borderId="2" xfId="0" applyFont="1" applyBorder="1" applyAlignment="1" quotePrefix="1">
      <alignment horizontal="center" vertical="center"/>
    </xf>
    <xf numFmtId="0" fontId="4" fillId="0" borderId="1" xfId="0" applyNumberFormat="1" applyFont="1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B0F0"/>
      <color rgb="00D9D9D9"/>
      <color rgb="00F2F2F2"/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1"/>
  <sheetViews>
    <sheetView zoomScale="52" zoomScaleNormal="52" topLeftCell="A189" workbookViewId="0">
      <selection activeCell="S201" sqref="S201"/>
    </sheetView>
  </sheetViews>
  <sheetFormatPr defaultColWidth="10.7916666666667" defaultRowHeight="45" customHeight="1"/>
  <cols>
    <col min="1" max="1" width="35.2916666666667" style="85" customWidth="1"/>
    <col min="2" max="2" width="63" style="85" customWidth="1"/>
    <col min="3" max="5" width="15.5" style="85" customWidth="1"/>
    <col min="6" max="6" width="13.7083333333333" style="85" customWidth="1"/>
    <col min="7" max="7" width="19.8333333333333" style="85" customWidth="1"/>
    <col min="8" max="9" width="15.5" style="85" customWidth="1"/>
    <col min="10" max="10" width="62.4" style="85" customWidth="1"/>
    <col min="11" max="16384" width="10.7916666666667" style="85"/>
  </cols>
  <sheetData>
    <row r="1" s="83" customFormat="1" ht="88" customHeight="1" spans="1:14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</row>
    <row r="2" customHeight="1" spans="1:14">
      <c r="A2" s="87" t="s">
        <v>1</v>
      </c>
      <c r="B2" s="87"/>
      <c r="C2" s="88" t="s">
        <v>2</v>
      </c>
      <c r="D2" s="89"/>
      <c r="E2" s="89"/>
      <c r="F2" s="89"/>
      <c r="G2" s="90"/>
      <c r="H2" s="88" t="s">
        <v>3</v>
      </c>
      <c r="I2" s="89"/>
      <c r="J2" s="91" t="s">
        <v>4</v>
      </c>
    </row>
    <row r="3" customHeight="1" spans="1:14">
      <c r="A3" s="87" t="s">
        <v>5</v>
      </c>
      <c r="B3" s="92" t="s">
        <v>6</v>
      </c>
      <c r="C3" s="93"/>
      <c r="D3" s="94"/>
      <c r="E3" s="94"/>
      <c r="F3" s="94"/>
      <c r="G3" s="95"/>
      <c r="H3" s="92"/>
      <c r="I3" s="96"/>
      <c r="J3" s="97"/>
    </row>
    <row r="4" customHeight="1" spans="1:14">
      <c r="A4" s="87"/>
      <c r="B4" s="98" t="s">
        <v>7</v>
      </c>
      <c r="C4" s="99" t="s">
        <v>8</v>
      </c>
      <c r="D4" s="100" t="s">
        <v>9</v>
      </c>
      <c r="E4" s="99" t="s">
        <v>10</v>
      </c>
      <c r="F4" s="87" t="s">
        <v>11</v>
      </c>
      <c r="G4" s="91" t="s">
        <v>12</v>
      </c>
      <c r="H4" s="88" t="s">
        <v>13</v>
      </c>
      <c r="I4" s="90"/>
      <c r="J4" s="97"/>
    </row>
    <row r="5" customHeight="1" spans="1:14">
      <c r="A5" s="87"/>
      <c r="B5" s="101"/>
      <c r="C5" s="87" t="s">
        <v>14</v>
      </c>
      <c r="D5" s="87" t="s">
        <v>14</v>
      </c>
      <c r="E5" s="87" t="s">
        <v>14</v>
      </c>
      <c r="F5" s="87"/>
      <c r="G5" s="102"/>
      <c r="H5" s="87" t="s">
        <v>15</v>
      </c>
      <c r="I5" s="87" t="s">
        <v>16</v>
      </c>
      <c r="J5" s="102"/>
    </row>
    <row r="6" customHeight="1" spans="1:14">
      <c r="A6" s="103" t="s">
        <v>17</v>
      </c>
      <c r="B6" s="103" t="s">
        <v>18</v>
      </c>
      <c r="C6" s="104">
        <v>6800</v>
      </c>
      <c r="D6" s="104">
        <v>3440</v>
      </c>
      <c r="E6" s="104">
        <v>6799</v>
      </c>
      <c r="F6" s="104">
        <v>199</v>
      </c>
      <c r="G6" s="105">
        <f>SUM(C6:F6)</f>
        <v>17238</v>
      </c>
      <c r="H6" s="104">
        <v>4</v>
      </c>
      <c r="I6" s="105">
        <f>(C6+D6+E6)/H6</f>
        <v>4259.75</v>
      </c>
      <c r="J6" s="106" t="s">
        <v>19</v>
      </c>
    </row>
    <row r="7" customHeight="1" spans="1:14">
      <c r="A7" s="107" t="s">
        <v>20</v>
      </c>
      <c r="B7" s="107" t="s">
        <v>21</v>
      </c>
      <c r="C7" s="108"/>
      <c r="D7" s="108"/>
      <c r="E7" s="108"/>
      <c r="F7" s="108">
        <v>299</v>
      </c>
      <c r="G7" s="109">
        <v>1495</v>
      </c>
      <c r="H7" s="108">
        <v>5</v>
      </c>
      <c r="I7" s="109">
        <v>299</v>
      </c>
      <c r="J7" s="110"/>
    </row>
    <row r="8" customHeight="1" spans="1:14">
      <c r="A8" s="107" t="s">
        <v>22</v>
      </c>
      <c r="B8" s="107" t="s">
        <v>23</v>
      </c>
      <c r="C8" s="108"/>
      <c r="D8" s="108"/>
      <c r="E8" s="108"/>
      <c r="F8" s="108">
        <v>299</v>
      </c>
      <c r="G8" s="109">
        <v>299</v>
      </c>
      <c r="H8" s="108">
        <v>1</v>
      </c>
      <c r="I8" s="109">
        <f>(C8+D8+E8)/H8</f>
        <v>0</v>
      </c>
      <c r="J8" s="110" t="s">
        <v>24</v>
      </c>
    </row>
    <row r="9" customHeight="1" spans="1:14">
      <c r="A9" s="107" t="s">
        <v>25</v>
      </c>
      <c r="B9" s="111" t="s">
        <v>26</v>
      </c>
      <c r="C9" s="108"/>
      <c r="D9" s="108"/>
      <c r="E9" s="108"/>
      <c r="F9" s="108"/>
      <c r="G9" s="109" t="e">
        <f>C9+#REF!+E9+#REF!+F9</f>
        <v>#REF!</v>
      </c>
      <c r="H9" s="108"/>
      <c r="I9" s="109" t="e">
        <f>(C9+D9+E9)/H9</f>
        <v>#DIV/0!</v>
      </c>
      <c r="J9" s="108"/>
    </row>
    <row r="10" customHeight="1" spans="1:14">
      <c r="A10" s="108" t="s">
        <v>27</v>
      </c>
      <c r="B10" s="107" t="s">
        <v>28</v>
      </c>
      <c r="C10" s="109">
        <v>0</v>
      </c>
      <c r="D10" s="109">
        <v>0</v>
      </c>
      <c r="E10" s="109">
        <v>0</v>
      </c>
      <c r="F10" s="109">
        <v>299</v>
      </c>
      <c r="G10" s="109">
        <v>1794</v>
      </c>
      <c r="H10" s="109">
        <v>6</v>
      </c>
      <c r="I10" s="109">
        <v>299</v>
      </c>
      <c r="J10" s="112"/>
    </row>
    <row r="11" customHeight="1" spans="1:14">
      <c r="A11" s="110" t="s">
        <v>29</v>
      </c>
      <c r="B11" s="113" t="s">
        <v>30</v>
      </c>
      <c r="C11" s="113"/>
      <c r="D11" s="113"/>
      <c r="E11" s="113"/>
      <c r="F11" s="113"/>
      <c r="G11" s="113"/>
      <c r="H11" s="113"/>
      <c r="I11" s="113"/>
      <c r="J11" s="113"/>
    </row>
    <row r="12" customHeight="1" spans="1:14">
      <c r="A12" s="114"/>
      <c r="B12" s="113" t="s">
        <v>31</v>
      </c>
      <c r="C12" s="113"/>
      <c r="D12" s="113"/>
      <c r="E12" s="113"/>
      <c r="F12" s="113"/>
      <c r="G12" s="113"/>
      <c r="H12" s="113"/>
      <c r="I12" s="113"/>
      <c r="J12" s="113"/>
    </row>
    <row r="13" customHeight="1" spans="1:14">
      <c r="A13" s="114"/>
      <c r="B13" s="113" t="s">
        <v>32</v>
      </c>
      <c r="C13" s="113"/>
      <c r="D13" s="113"/>
      <c r="E13" s="113"/>
      <c r="F13" s="113"/>
      <c r="G13" s="113"/>
      <c r="H13" s="113"/>
      <c r="I13" s="113"/>
      <c r="J13" s="113"/>
    </row>
    <row r="14" customHeight="1" spans="1:14">
      <c r="A14" s="115"/>
      <c r="B14" s="113" t="s">
        <v>31</v>
      </c>
      <c r="C14" s="113"/>
      <c r="D14" s="113"/>
      <c r="E14" s="113"/>
      <c r="F14" s="113"/>
      <c r="G14" s="113"/>
      <c r="H14" s="113"/>
      <c r="I14" s="113"/>
      <c r="J14" s="113"/>
    </row>
    <row r="15" customHeight="1" spans="1:14">
      <c r="A15" s="116" t="s">
        <v>33</v>
      </c>
      <c r="B15" s="117"/>
      <c r="C15" s="117"/>
      <c r="D15" s="117"/>
      <c r="E15" s="117"/>
      <c r="F15" s="117"/>
      <c r="G15" s="117"/>
      <c r="H15" s="117"/>
      <c r="I15" s="117"/>
      <c r="J15" s="118"/>
    </row>
    <row r="16" s="84" customFormat="1" ht="90" customHeight="1" spans="1:14">
      <c r="A16" s="119" t="s">
        <v>34</v>
      </c>
      <c r="B16" s="119"/>
      <c r="C16" s="119"/>
      <c r="D16" s="119"/>
      <c r="E16" s="119"/>
      <c r="F16" s="119"/>
      <c r="G16" s="119"/>
      <c r="H16" s="119"/>
      <c r="I16" s="119"/>
      <c r="J16" s="119"/>
      <c r="K16" s="120"/>
      <c r="L16" s="120"/>
      <c r="M16" s="120"/>
      <c r="N16" s="120"/>
    </row>
    <row r="17" customHeight="1" spans="1:10">
      <c r="A17" s="86" t="s">
        <v>35</v>
      </c>
      <c r="B17" s="86"/>
      <c r="C17" s="86"/>
      <c r="D17" s="86"/>
      <c r="E17" s="86"/>
      <c r="F17" s="86"/>
      <c r="G17" s="86"/>
      <c r="H17" s="86"/>
      <c r="I17" s="86"/>
      <c r="J17" s="86"/>
    </row>
    <row r="18" customHeight="1" spans="1:10">
      <c r="A18" s="87" t="s">
        <v>1</v>
      </c>
      <c r="B18" s="87"/>
      <c r="C18" s="88" t="s">
        <v>2</v>
      </c>
      <c r="D18" s="89"/>
      <c r="E18" s="89"/>
      <c r="F18" s="89"/>
      <c r="G18" s="90"/>
      <c r="H18" s="88" t="s">
        <v>3</v>
      </c>
      <c r="I18" s="89"/>
      <c r="J18" s="91" t="s">
        <v>4</v>
      </c>
    </row>
    <row r="19" customHeight="1" spans="1:10">
      <c r="A19" s="87" t="s">
        <v>5</v>
      </c>
      <c r="B19" s="92" t="s">
        <v>6</v>
      </c>
      <c r="C19" s="93"/>
      <c r="D19" s="94"/>
      <c r="E19" s="94"/>
      <c r="F19" s="94"/>
      <c r="G19" s="95"/>
      <c r="H19" s="92"/>
      <c r="I19" s="96"/>
      <c r="J19" s="97"/>
    </row>
    <row r="20" customHeight="1" spans="1:10">
      <c r="A20" s="87"/>
      <c r="B20" s="98" t="s">
        <v>7</v>
      </c>
      <c r="C20" s="99" t="s">
        <v>8</v>
      </c>
      <c r="D20" s="100" t="s">
        <v>9</v>
      </c>
      <c r="E20" s="99" t="s">
        <v>10</v>
      </c>
      <c r="F20" s="87" t="s">
        <v>11</v>
      </c>
      <c r="G20" s="91" t="s">
        <v>12</v>
      </c>
      <c r="H20" s="88" t="s">
        <v>13</v>
      </c>
      <c r="I20" s="90"/>
      <c r="J20" s="97"/>
    </row>
    <row r="21" customHeight="1" spans="1:10">
      <c r="A21" s="87"/>
      <c r="B21" s="101"/>
      <c r="C21" s="87" t="s">
        <v>14</v>
      </c>
      <c r="D21" s="87" t="s">
        <v>14</v>
      </c>
      <c r="E21" s="87" t="s">
        <v>14</v>
      </c>
      <c r="F21" s="87"/>
      <c r="G21" s="102"/>
      <c r="H21" s="87" t="s">
        <v>15</v>
      </c>
      <c r="I21" s="87" t="s">
        <v>16</v>
      </c>
      <c r="J21" s="102"/>
    </row>
    <row r="22" customHeight="1" spans="1:10">
      <c r="A22" s="107" t="s">
        <v>36</v>
      </c>
      <c r="B22" s="107" t="s">
        <v>37</v>
      </c>
      <c r="C22" s="108"/>
      <c r="D22" s="108"/>
      <c r="E22" s="108"/>
      <c r="F22" s="108">
        <v>1999</v>
      </c>
      <c r="G22" s="109">
        <f>SUM(C22:F22)</f>
        <v>1999</v>
      </c>
      <c r="H22" s="108">
        <v>1</v>
      </c>
      <c r="I22" s="109">
        <v>1999</v>
      </c>
      <c r="J22" s="110"/>
    </row>
    <row r="23" customHeight="1" spans="1:10">
      <c r="A23" s="107" t="s">
        <v>38</v>
      </c>
      <c r="B23" s="107" t="s">
        <v>26</v>
      </c>
      <c r="C23" s="108"/>
      <c r="D23" s="108"/>
      <c r="E23" s="108"/>
      <c r="F23" s="108"/>
      <c r="G23" s="109"/>
      <c r="H23" s="108"/>
      <c r="I23" s="109"/>
      <c r="J23" s="110"/>
    </row>
    <row r="24" customHeight="1" spans="1:10">
      <c r="A24" s="107" t="s">
        <v>39</v>
      </c>
      <c r="B24" s="107" t="s">
        <v>40</v>
      </c>
      <c r="C24" s="108"/>
      <c r="D24" s="108">
        <v>1946</v>
      </c>
      <c r="E24" s="108"/>
      <c r="F24" s="108"/>
      <c r="G24" s="109">
        <v>1946</v>
      </c>
      <c r="H24" s="108">
        <v>1</v>
      </c>
      <c r="I24" s="109">
        <v>1946</v>
      </c>
      <c r="J24" s="108" t="s">
        <v>24</v>
      </c>
    </row>
    <row r="25" customHeight="1" spans="1:10">
      <c r="A25" s="107" t="s">
        <v>41</v>
      </c>
      <c r="B25" s="111" t="s">
        <v>42</v>
      </c>
      <c r="C25" s="108">
        <v>5999</v>
      </c>
      <c r="D25" s="108">
        <v>1946</v>
      </c>
      <c r="E25" s="108"/>
      <c r="F25" s="108"/>
      <c r="G25" s="109">
        <v>7946</v>
      </c>
      <c r="H25" s="108">
        <v>1</v>
      </c>
      <c r="I25" s="109">
        <f>(C25+D25+E25)/H25</f>
        <v>7945</v>
      </c>
      <c r="J25" s="108"/>
    </row>
    <row r="26" customHeight="1" spans="1:10">
      <c r="A26" s="108" t="s">
        <v>27</v>
      </c>
      <c r="B26" s="107" t="s">
        <v>43</v>
      </c>
      <c r="C26" s="109">
        <f t="shared" ref="C26:H26" si="0">SUM(C22:C25)</f>
        <v>5999</v>
      </c>
      <c r="D26" s="109">
        <f t="shared" si="0"/>
        <v>3892</v>
      </c>
      <c r="E26" s="109">
        <f t="shared" si="0"/>
        <v>0</v>
      </c>
      <c r="F26" s="109">
        <f t="shared" si="0"/>
        <v>1999</v>
      </c>
      <c r="G26" s="109">
        <f t="shared" si="0"/>
        <v>11891</v>
      </c>
      <c r="H26" s="109">
        <f t="shared" si="0"/>
        <v>3</v>
      </c>
      <c r="I26" s="109">
        <f>(C26+D26+E26+F26)/H26</f>
        <v>3963.33333333333</v>
      </c>
      <c r="J26" s="112"/>
    </row>
    <row r="27" customHeight="1" spans="1:10">
      <c r="A27" s="110" t="s">
        <v>29</v>
      </c>
      <c r="B27" s="113" t="s">
        <v>30</v>
      </c>
      <c r="C27" s="113"/>
      <c r="D27" s="113"/>
      <c r="E27" s="113"/>
      <c r="F27" s="113"/>
      <c r="G27" s="113"/>
      <c r="H27" s="113"/>
      <c r="I27" s="113"/>
      <c r="J27" s="113"/>
    </row>
    <row r="28" customHeight="1" spans="1:10">
      <c r="A28" s="114"/>
      <c r="B28" s="113" t="s">
        <v>31</v>
      </c>
      <c r="C28" s="113"/>
      <c r="D28" s="113"/>
      <c r="E28" s="113"/>
      <c r="F28" s="113"/>
      <c r="G28" s="113"/>
      <c r="H28" s="113"/>
      <c r="I28" s="113"/>
      <c r="J28" s="113"/>
    </row>
    <row r="29" customHeight="1" spans="1:10">
      <c r="A29" s="114"/>
      <c r="B29" s="113" t="s">
        <v>32</v>
      </c>
      <c r="C29" s="113"/>
      <c r="D29" s="113"/>
      <c r="E29" s="113"/>
      <c r="F29" s="113"/>
      <c r="G29" s="113"/>
      <c r="H29" s="113"/>
      <c r="I29" s="113"/>
      <c r="J29" s="113"/>
    </row>
    <row r="30" customHeight="1" spans="1:10">
      <c r="A30" s="115"/>
      <c r="B30" s="113" t="s">
        <v>31</v>
      </c>
      <c r="C30" s="113"/>
      <c r="D30" s="113"/>
      <c r="E30" s="113"/>
      <c r="F30" s="113"/>
      <c r="G30" s="113"/>
      <c r="H30" s="113"/>
      <c r="I30" s="113"/>
      <c r="J30" s="113"/>
    </row>
    <row r="31" customHeight="1" spans="1:10">
      <c r="A31" s="116" t="s">
        <v>33</v>
      </c>
      <c r="B31" s="117"/>
      <c r="C31" s="117"/>
      <c r="D31" s="117"/>
      <c r="E31" s="117"/>
      <c r="F31" s="117"/>
      <c r="G31" s="117"/>
      <c r="H31" s="117"/>
      <c r="I31" s="117"/>
      <c r="J31" s="118"/>
    </row>
    <row r="32" customHeight="1" spans="1:10">
      <c r="A32" s="119" t="s">
        <v>34</v>
      </c>
      <c r="B32" s="119"/>
      <c r="C32" s="119"/>
      <c r="D32" s="119"/>
      <c r="E32" s="119"/>
      <c r="F32" s="119"/>
      <c r="G32" s="119"/>
      <c r="H32" s="119"/>
      <c r="I32" s="119"/>
      <c r="J32" s="119"/>
    </row>
    <row r="33" customHeight="1" spans="1:10">
      <c r="A33" s="86" t="s">
        <v>44</v>
      </c>
      <c r="B33" s="86"/>
      <c r="C33" s="86"/>
      <c r="D33" s="86"/>
      <c r="E33" s="86"/>
      <c r="F33" s="86"/>
      <c r="G33" s="86"/>
      <c r="H33" s="86"/>
      <c r="I33" s="86"/>
      <c r="J33" s="86"/>
    </row>
    <row r="34" customHeight="1" spans="1:10">
      <c r="A34" s="87" t="s">
        <v>1</v>
      </c>
      <c r="B34" s="87"/>
      <c r="C34" s="88" t="s">
        <v>2</v>
      </c>
      <c r="D34" s="89"/>
      <c r="E34" s="89"/>
      <c r="F34" s="89"/>
      <c r="G34" s="90"/>
      <c r="H34" s="88" t="s">
        <v>3</v>
      </c>
      <c r="I34" s="89"/>
      <c r="J34" s="91" t="s">
        <v>4</v>
      </c>
    </row>
    <row r="35" customHeight="1" spans="1:10">
      <c r="A35" s="87" t="s">
        <v>5</v>
      </c>
      <c r="B35" s="92" t="s">
        <v>6</v>
      </c>
      <c r="C35" s="93"/>
      <c r="D35" s="94"/>
      <c r="E35" s="94"/>
      <c r="F35" s="94"/>
      <c r="G35" s="95"/>
      <c r="H35" s="92"/>
      <c r="I35" s="96"/>
      <c r="J35" s="97"/>
    </row>
    <row r="36" customHeight="1" spans="1:10">
      <c r="A36" s="87"/>
      <c r="B36" s="98" t="s">
        <v>7</v>
      </c>
      <c r="C36" s="99" t="s">
        <v>8</v>
      </c>
      <c r="D36" s="100" t="s">
        <v>9</v>
      </c>
      <c r="E36" s="99" t="s">
        <v>10</v>
      </c>
      <c r="F36" s="87" t="s">
        <v>11</v>
      </c>
      <c r="G36" s="91" t="s">
        <v>12</v>
      </c>
      <c r="H36" s="88" t="s">
        <v>13</v>
      </c>
      <c r="I36" s="90"/>
      <c r="J36" s="97"/>
    </row>
    <row r="37" customHeight="1" spans="1:10">
      <c r="A37" s="87"/>
      <c r="B37" s="101"/>
      <c r="C37" s="87" t="s">
        <v>14</v>
      </c>
      <c r="D37" s="87" t="s">
        <v>14</v>
      </c>
      <c r="E37" s="87" t="s">
        <v>14</v>
      </c>
      <c r="F37" s="87"/>
      <c r="G37" s="102"/>
      <c r="H37" s="87" t="s">
        <v>15</v>
      </c>
      <c r="I37" s="87" t="s">
        <v>16</v>
      </c>
      <c r="J37" s="102"/>
    </row>
    <row r="38" customHeight="1" spans="1:10">
      <c r="A38" s="107" t="s">
        <v>45</v>
      </c>
      <c r="B38" s="107" t="s">
        <v>46</v>
      </c>
      <c r="C38" s="108">
        <v>31946</v>
      </c>
      <c r="D38" s="108"/>
      <c r="E38" s="108"/>
      <c r="F38" s="108">
        <v>1980</v>
      </c>
      <c r="G38" s="109">
        <f>SUM(C38:F38)</f>
        <v>33926</v>
      </c>
      <c r="H38" s="108">
        <v>2</v>
      </c>
      <c r="I38" s="109">
        <f>G38/H38</f>
        <v>16963</v>
      </c>
      <c r="J38" s="110"/>
    </row>
    <row r="39" customHeight="1" spans="1:10">
      <c r="A39" s="107" t="s">
        <v>47</v>
      </c>
      <c r="B39" s="107" t="s">
        <v>48</v>
      </c>
      <c r="C39" s="108">
        <v>2330</v>
      </c>
      <c r="D39" s="108">
        <v>4660</v>
      </c>
      <c r="E39" s="108">
        <v>1165</v>
      </c>
      <c r="F39" s="108">
        <v>6999</v>
      </c>
      <c r="G39" s="109">
        <f>C39+D39+E39+F39</f>
        <v>15154</v>
      </c>
      <c r="H39" s="108">
        <v>3</v>
      </c>
      <c r="I39" s="109">
        <f>G39/H39</f>
        <v>5051.33333333333</v>
      </c>
      <c r="J39" s="110"/>
    </row>
    <row r="40" customHeight="1" spans="1:10">
      <c r="A40" s="107" t="s">
        <v>49</v>
      </c>
      <c r="B40" s="107" t="s">
        <v>42</v>
      </c>
      <c r="C40" s="108"/>
      <c r="D40" s="108">
        <v>4660</v>
      </c>
      <c r="E40" s="108"/>
      <c r="F40" s="108"/>
      <c r="G40" s="109">
        <v>4660</v>
      </c>
      <c r="H40" s="108">
        <v>1</v>
      </c>
      <c r="I40" s="109">
        <f>(C40+D40+E40+F40)/H40</f>
        <v>4660</v>
      </c>
      <c r="J40" s="108" t="s">
        <v>24</v>
      </c>
    </row>
    <row r="41" customHeight="1" spans="1:10">
      <c r="A41" s="107" t="s">
        <v>50</v>
      </c>
      <c r="B41" s="111" t="s">
        <v>51</v>
      </c>
      <c r="C41" s="108"/>
      <c r="D41" s="108">
        <v>11592</v>
      </c>
      <c r="E41" s="108"/>
      <c r="F41" s="108">
        <v>6999</v>
      </c>
      <c r="G41" s="109">
        <f>C41+D41+E41+F41</f>
        <v>18591</v>
      </c>
      <c r="H41" s="108">
        <v>5</v>
      </c>
      <c r="I41" s="109">
        <f>(C41+D41+E41+F41)/H41</f>
        <v>3718.2</v>
      </c>
      <c r="J41" s="108"/>
    </row>
    <row r="42" customHeight="1" spans="1:10">
      <c r="A42" s="108" t="s">
        <v>27</v>
      </c>
      <c r="B42" s="107" t="s">
        <v>52</v>
      </c>
      <c r="C42" s="109">
        <f t="shared" ref="C42:H42" si="1">SUM(C38:C41)</f>
        <v>34276</v>
      </c>
      <c r="D42" s="109">
        <f t="shared" si="1"/>
        <v>20912</v>
      </c>
      <c r="E42" s="109">
        <f t="shared" si="1"/>
        <v>1165</v>
      </c>
      <c r="F42" s="109">
        <f t="shared" si="1"/>
        <v>15978</v>
      </c>
      <c r="G42" s="109">
        <f t="shared" si="1"/>
        <v>72331</v>
      </c>
      <c r="H42" s="109">
        <f t="shared" si="1"/>
        <v>11</v>
      </c>
      <c r="I42" s="109">
        <f>(C42+D42+E42+F42)/H42</f>
        <v>6575.54545454545</v>
      </c>
      <c r="J42" s="112"/>
    </row>
    <row r="43" customHeight="1" spans="1:10">
      <c r="A43" s="110" t="s">
        <v>29</v>
      </c>
      <c r="B43" s="113" t="s">
        <v>30</v>
      </c>
      <c r="C43" s="113"/>
      <c r="D43" s="113"/>
      <c r="E43" s="113"/>
      <c r="F43" s="113"/>
      <c r="G43" s="113"/>
      <c r="H43" s="113"/>
      <c r="I43" s="113"/>
      <c r="J43" s="113"/>
    </row>
    <row r="44" customHeight="1" spans="1:10">
      <c r="A44" s="114"/>
      <c r="B44" s="113" t="s">
        <v>31</v>
      </c>
      <c r="C44" s="113"/>
      <c r="D44" s="113"/>
      <c r="E44" s="113"/>
      <c r="F44" s="113"/>
      <c r="G44" s="113"/>
      <c r="H44" s="113"/>
      <c r="I44" s="113"/>
      <c r="J44" s="113"/>
    </row>
    <row r="45" customHeight="1" spans="1:10">
      <c r="A45" s="114"/>
      <c r="B45" s="113" t="s">
        <v>32</v>
      </c>
      <c r="C45" s="113"/>
      <c r="D45" s="113"/>
      <c r="E45" s="113"/>
      <c r="F45" s="113"/>
      <c r="G45" s="113"/>
      <c r="H45" s="113"/>
      <c r="I45" s="113"/>
      <c r="J45" s="113"/>
    </row>
    <row r="46" customHeight="1" spans="1:10">
      <c r="A46" s="115"/>
      <c r="B46" s="113" t="s">
        <v>31</v>
      </c>
      <c r="C46" s="113"/>
      <c r="D46" s="113"/>
      <c r="E46" s="113"/>
      <c r="F46" s="113"/>
      <c r="G46" s="113"/>
      <c r="H46" s="113"/>
      <c r="I46" s="113"/>
      <c r="J46" s="113"/>
    </row>
    <row r="47" customHeight="1" spans="1:10">
      <c r="A47" s="116" t="s">
        <v>33</v>
      </c>
      <c r="B47" s="117"/>
      <c r="C47" s="117"/>
      <c r="D47" s="117"/>
      <c r="E47" s="117"/>
      <c r="F47" s="117"/>
      <c r="G47" s="117"/>
      <c r="H47" s="117"/>
      <c r="I47" s="117"/>
      <c r="J47" s="118"/>
    </row>
    <row r="48" customHeight="1" spans="1:10">
      <c r="A48" s="119" t="s">
        <v>34</v>
      </c>
      <c r="B48" s="119"/>
      <c r="C48" s="119"/>
      <c r="D48" s="119"/>
      <c r="E48" s="119"/>
      <c r="F48" s="119"/>
      <c r="G48" s="119"/>
      <c r="H48" s="119"/>
      <c r="I48" s="119"/>
      <c r="J48" s="119"/>
    </row>
    <row r="49" customHeight="1" spans="1:10">
      <c r="A49" s="86" t="s">
        <v>53</v>
      </c>
      <c r="B49" s="86"/>
      <c r="C49" s="86"/>
      <c r="D49" s="86"/>
      <c r="E49" s="86"/>
      <c r="F49" s="86"/>
      <c r="G49" s="86"/>
      <c r="H49" s="86"/>
      <c r="I49" s="86"/>
      <c r="J49" s="86"/>
    </row>
    <row r="50" customHeight="1" spans="1:10">
      <c r="A50" s="87" t="s">
        <v>1</v>
      </c>
      <c r="B50" s="87"/>
      <c r="C50" s="88" t="s">
        <v>2</v>
      </c>
      <c r="D50" s="89"/>
      <c r="E50" s="89"/>
      <c r="F50" s="89"/>
      <c r="G50" s="90"/>
      <c r="H50" s="88" t="s">
        <v>3</v>
      </c>
      <c r="I50" s="89"/>
      <c r="J50" s="91" t="s">
        <v>4</v>
      </c>
    </row>
    <row r="51" customHeight="1" spans="1:10">
      <c r="A51" s="87" t="s">
        <v>5</v>
      </c>
      <c r="B51" s="92" t="s">
        <v>6</v>
      </c>
      <c r="C51" s="93"/>
      <c r="D51" s="94"/>
      <c r="E51" s="94"/>
      <c r="F51" s="94"/>
      <c r="G51" s="95"/>
      <c r="H51" s="92"/>
      <c r="I51" s="96"/>
      <c r="J51" s="97"/>
    </row>
    <row r="52" customHeight="1" spans="1:10">
      <c r="A52" s="87"/>
      <c r="B52" s="98" t="s">
        <v>7</v>
      </c>
      <c r="C52" s="99" t="s">
        <v>8</v>
      </c>
      <c r="D52" s="100" t="s">
        <v>9</v>
      </c>
      <c r="E52" s="99" t="s">
        <v>10</v>
      </c>
      <c r="F52" s="87" t="s">
        <v>11</v>
      </c>
      <c r="G52" s="91" t="s">
        <v>12</v>
      </c>
      <c r="H52" s="88" t="s">
        <v>13</v>
      </c>
      <c r="I52" s="90"/>
      <c r="J52" s="97"/>
    </row>
    <row r="53" customHeight="1" spans="1:10">
      <c r="A53" s="87"/>
      <c r="B53" s="101"/>
      <c r="C53" s="87" t="s">
        <v>14</v>
      </c>
      <c r="D53" s="87" t="s">
        <v>14</v>
      </c>
      <c r="E53" s="87" t="s">
        <v>14</v>
      </c>
      <c r="F53" s="87"/>
      <c r="G53" s="102"/>
      <c r="H53" s="87" t="s">
        <v>15</v>
      </c>
      <c r="I53" s="87" t="s">
        <v>16</v>
      </c>
      <c r="J53" s="102"/>
    </row>
    <row r="54" customHeight="1" spans="1:10">
      <c r="A54" s="107" t="s">
        <v>54</v>
      </c>
      <c r="B54" s="107" t="s">
        <v>26</v>
      </c>
      <c r="C54" s="108"/>
      <c r="D54" s="108"/>
      <c r="E54" s="108"/>
      <c r="F54" s="108"/>
      <c r="G54" s="109">
        <f>SUM(C54:F54)</f>
        <v>0</v>
      </c>
      <c r="H54" s="108"/>
      <c r="I54" s="109" t="e">
        <f>G54/H54</f>
        <v>#DIV/0!</v>
      </c>
      <c r="J54" s="110"/>
    </row>
    <row r="55" customHeight="1" spans="1:10">
      <c r="A55" s="107" t="s">
        <v>55</v>
      </c>
      <c r="B55" s="107" t="s">
        <v>56</v>
      </c>
      <c r="C55" s="108">
        <v>10700</v>
      </c>
      <c r="D55" s="108">
        <v>3560</v>
      </c>
      <c r="E55" s="108"/>
      <c r="F55" s="108"/>
      <c r="G55" s="109">
        <f>C55+D55+E55+F55</f>
        <v>14260</v>
      </c>
      <c r="H55" s="108">
        <v>2</v>
      </c>
      <c r="I55" s="109">
        <f>G55/H55</f>
        <v>7130</v>
      </c>
      <c r="J55" s="110"/>
    </row>
    <row r="56" customHeight="1" spans="1:10">
      <c r="A56" s="107" t="s">
        <v>57</v>
      </c>
      <c r="B56" s="107" t="s">
        <v>58</v>
      </c>
      <c r="C56" s="108"/>
      <c r="D56" s="108"/>
      <c r="E56" s="108">
        <v>2330</v>
      </c>
      <c r="F56" s="108">
        <v>13441</v>
      </c>
      <c r="G56" s="109">
        <f>C56+D56+E56+F56</f>
        <v>15771</v>
      </c>
      <c r="H56" s="108">
        <v>3</v>
      </c>
      <c r="I56" s="109">
        <f>(C56+D56+E56+F56)/H56</f>
        <v>5257</v>
      </c>
      <c r="J56" s="108" t="s">
        <v>24</v>
      </c>
    </row>
    <row r="57" customHeight="1" spans="1:10">
      <c r="A57" s="107" t="s">
        <v>59</v>
      </c>
      <c r="B57" s="111" t="s">
        <v>60</v>
      </c>
      <c r="C57" s="108">
        <v>14999.5</v>
      </c>
      <c r="D57" s="108">
        <v>7120</v>
      </c>
      <c r="E57" s="108">
        <v>2160</v>
      </c>
      <c r="F57" s="108">
        <v>4110</v>
      </c>
      <c r="G57" s="109">
        <f>C57+D57+E57+F57</f>
        <v>28389.5</v>
      </c>
      <c r="H57" s="108">
        <v>6</v>
      </c>
      <c r="I57" s="109">
        <f>(C57+D57+E57+F57)/H57</f>
        <v>4731.58333333333</v>
      </c>
      <c r="J57" s="108"/>
    </row>
    <row r="58" customHeight="1" spans="1:10">
      <c r="A58" s="107" t="s">
        <v>61</v>
      </c>
      <c r="B58" s="111" t="s">
        <v>26</v>
      </c>
      <c r="C58" s="108"/>
      <c r="D58" s="108"/>
      <c r="E58" s="108"/>
      <c r="F58" s="108">
        <v>0</v>
      </c>
      <c r="G58" s="109">
        <v>0</v>
      </c>
      <c r="H58" s="108">
        <v>0</v>
      </c>
      <c r="I58" s="109">
        <v>0</v>
      </c>
      <c r="J58" s="110"/>
    </row>
    <row r="59" customHeight="1" spans="1:10">
      <c r="A59" s="108" t="s">
        <v>27</v>
      </c>
      <c r="B59" s="107" t="s">
        <v>62</v>
      </c>
      <c r="C59" s="109">
        <f t="shared" ref="C59:H59" si="2">SUM(C54:C57)</f>
        <v>25699.5</v>
      </c>
      <c r="D59" s="109">
        <f t="shared" si="2"/>
        <v>10680</v>
      </c>
      <c r="E59" s="109">
        <f t="shared" si="2"/>
        <v>4490</v>
      </c>
      <c r="F59" s="109">
        <f t="shared" si="2"/>
        <v>17551</v>
      </c>
      <c r="G59" s="109">
        <f t="shared" si="2"/>
        <v>58420.5</v>
      </c>
      <c r="H59" s="109">
        <v>11</v>
      </c>
      <c r="I59" s="109">
        <f>(C59+D59+E59+F59)/H59</f>
        <v>5310.95454545455</v>
      </c>
      <c r="J59" s="112"/>
    </row>
    <row r="60" customHeight="1" spans="1:10">
      <c r="A60" s="110" t="s">
        <v>29</v>
      </c>
      <c r="B60" s="113" t="s">
        <v>30</v>
      </c>
      <c r="C60" s="113"/>
      <c r="D60" s="113"/>
      <c r="E60" s="113"/>
      <c r="F60" s="113"/>
      <c r="G60" s="113"/>
      <c r="H60" s="113"/>
      <c r="I60" s="113"/>
      <c r="J60" s="113"/>
    </row>
    <row r="61" customHeight="1" spans="1:10">
      <c r="A61" s="114"/>
      <c r="B61" s="113" t="s">
        <v>31</v>
      </c>
      <c r="C61" s="113"/>
      <c r="D61" s="113"/>
      <c r="E61" s="113"/>
      <c r="F61" s="113"/>
      <c r="G61" s="113"/>
      <c r="H61" s="113"/>
      <c r="I61" s="113"/>
      <c r="J61" s="113"/>
    </row>
    <row r="62" customHeight="1" spans="1:10">
      <c r="A62" s="114"/>
      <c r="B62" s="113" t="s">
        <v>32</v>
      </c>
      <c r="C62" s="113"/>
      <c r="D62" s="113"/>
      <c r="E62" s="113"/>
      <c r="F62" s="113"/>
      <c r="G62" s="113"/>
      <c r="H62" s="113"/>
      <c r="I62" s="113"/>
      <c r="J62" s="113"/>
    </row>
    <row r="63" customHeight="1" spans="1:10">
      <c r="A63" s="115"/>
      <c r="B63" s="113" t="s">
        <v>31</v>
      </c>
      <c r="C63" s="113"/>
      <c r="D63" s="113"/>
      <c r="E63" s="113"/>
      <c r="F63" s="113"/>
      <c r="G63" s="113"/>
      <c r="H63" s="113"/>
      <c r="I63" s="113"/>
      <c r="J63" s="113"/>
    </row>
    <row r="64" customHeight="1" spans="1:10">
      <c r="A64" s="116" t="s">
        <v>33</v>
      </c>
      <c r="B64" s="117"/>
      <c r="C64" s="117"/>
      <c r="D64" s="117"/>
      <c r="E64" s="117"/>
      <c r="F64" s="117"/>
      <c r="G64" s="117"/>
      <c r="H64" s="117"/>
      <c r="I64" s="117"/>
      <c r="J64" s="118"/>
    </row>
    <row r="65" customHeight="1" spans="1:10">
      <c r="A65" s="119" t="s">
        <v>34</v>
      </c>
      <c r="B65" s="119"/>
      <c r="C65" s="119"/>
      <c r="D65" s="119"/>
      <c r="E65" s="119"/>
      <c r="F65" s="119"/>
      <c r="G65" s="119"/>
      <c r="H65" s="119"/>
      <c r="I65" s="119"/>
      <c r="J65" s="119"/>
    </row>
    <row r="66" customHeight="1" spans="1:10">
      <c r="A66" s="86" t="s">
        <v>63</v>
      </c>
      <c r="B66" s="86"/>
      <c r="C66" s="86"/>
      <c r="D66" s="86"/>
      <c r="E66" s="86"/>
      <c r="F66" s="86"/>
      <c r="G66" s="86"/>
      <c r="H66" s="86"/>
      <c r="I66" s="86"/>
      <c r="J66" s="86"/>
    </row>
    <row r="67" customHeight="1" spans="1:10">
      <c r="A67" s="87" t="s">
        <v>1</v>
      </c>
      <c r="B67" s="87"/>
      <c r="C67" s="88" t="s">
        <v>2</v>
      </c>
      <c r="D67" s="89"/>
      <c r="E67" s="89"/>
      <c r="F67" s="89"/>
      <c r="G67" s="90"/>
      <c r="H67" s="88" t="s">
        <v>3</v>
      </c>
      <c r="I67" s="89"/>
      <c r="J67" s="91" t="s">
        <v>4</v>
      </c>
    </row>
    <row r="68" customHeight="1" spans="1:10">
      <c r="A68" s="87" t="s">
        <v>5</v>
      </c>
      <c r="B68" s="92" t="s">
        <v>6</v>
      </c>
      <c r="C68" s="93"/>
      <c r="D68" s="94"/>
      <c r="E68" s="94"/>
      <c r="F68" s="94"/>
      <c r="G68" s="95"/>
      <c r="H68" s="92"/>
      <c r="I68" s="96"/>
      <c r="J68" s="97"/>
    </row>
    <row r="69" customHeight="1" spans="1:10">
      <c r="A69" s="87"/>
      <c r="B69" s="98" t="s">
        <v>7</v>
      </c>
      <c r="C69" s="99" t="s">
        <v>8</v>
      </c>
      <c r="D69" s="100" t="s">
        <v>9</v>
      </c>
      <c r="E69" s="99" t="s">
        <v>10</v>
      </c>
      <c r="F69" s="87" t="s">
        <v>11</v>
      </c>
      <c r="G69" s="91" t="s">
        <v>12</v>
      </c>
      <c r="H69" s="88" t="s">
        <v>13</v>
      </c>
      <c r="I69" s="90"/>
      <c r="J69" s="97"/>
    </row>
    <row r="70" customHeight="1" spans="1:10">
      <c r="A70" s="87"/>
      <c r="B70" s="101"/>
      <c r="C70" s="87" t="s">
        <v>14</v>
      </c>
      <c r="D70" s="87" t="s">
        <v>14</v>
      </c>
      <c r="E70" s="87" t="s">
        <v>14</v>
      </c>
      <c r="F70" s="87"/>
      <c r="G70" s="102"/>
      <c r="H70" s="87" t="s">
        <v>15</v>
      </c>
      <c r="I70" s="87" t="s">
        <v>16</v>
      </c>
      <c r="J70" s="102"/>
    </row>
    <row r="71" customHeight="1" spans="1:10">
      <c r="A71" s="107" t="s">
        <v>64</v>
      </c>
      <c r="B71" s="107" t="s">
        <v>65</v>
      </c>
      <c r="C71" s="108">
        <v>6299</v>
      </c>
      <c r="D71" s="108">
        <v>1946</v>
      </c>
      <c r="E71" s="108">
        <v>2097</v>
      </c>
      <c r="F71" s="108"/>
      <c r="G71" s="109">
        <f>C71+D71+E71+F71</f>
        <v>10342</v>
      </c>
      <c r="H71" s="108">
        <v>4</v>
      </c>
      <c r="I71" s="109">
        <f>(C71+D71+E71+F71)/H71</f>
        <v>2585.5</v>
      </c>
      <c r="J71" s="110"/>
    </row>
    <row r="72" customHeight="1" spans="1:10">
      <c r="A72" s="107" t="s">
        <v>66</v>
      </c>
      <c r="B72" s="107" t="s">
        <v>67</v>
      </c>
      <c r="C72" s="108"/>
      <c r="D72" s="108">
        <v>9999</v>
      </c>
      <c r="E72" s="108">
        <v>3110</v>
      </c>
      <c r="F72" s="108">
        <v>398</v>
      </c>
      <c r="G72" s="109">
        <f>C72+D72+E72+F72</f>
        <v>13507</v>
      </c>
      <c r="H72" s="108">
        <v>5</v>
      </c>
      <c r="I72" s="109">
        <f>(C72+D72+E72+F72)/H72</f>
        <v>2701.4</v>
      </c>
      <c r="J72" s="110"/>
    </row>
    <row r="73" customHeight="1" spans="1:10">
      <c r="A73" s="107" t="s">
        <v>68</v>
      </c>
      <c r="B73" s="107" t="s">
        <v>69</v>
      </c>
      <c r="C73" s="108"/>
      <c r="D73" s="108">
        <v>4388</v>
      </c>
      <c r="E73" s="108"/>
      <c r="F73" s="108">
        <v>5562</v>
      </c>
      <c r="G73" s="109">
        <f>C73+D73+E73+F73</f>
        <v>9950</v>
      </c>
      <c r="H73" s="108">
        <v>21</v>
      </c>
      <c r="I73" s="109">
        <f>(C73+D73+E73+F73)/H73</f>
        <v>473.809523809524</v>
      </c>
      <c r="J73" s="108" t="s">
        <v>24</v>
      </c>
    </row>
    <row r="74" customHeight="1" spans="1:10">
      <c r="A74" s="107" t="s">
        <v>70</v>
      </c>
      <c r="B74" s="111" t="s">
        <v>26</v>
      </c>
      <c r="C74" s="108"/>
      <c r="D74" s="108"/>
      <c r="E74" s="108"/>
      <c r="F74" s="108"/>
      <c r="G74" s="109">
        <f>C74+D74+E74+F74</f>
        <v>0</v>
      </c>
      <c r="H74" s="108"/>
      <c r="I74" s="109" t="e">
        <f>(C74+D74+E74+F74)/H74</f>
        <v>#DIV/0!</v>
      </c>
      <c r="J74" s="108"/>
    </row>
    <row r="75" customHeight="1" spans="1:10">
      <c r="A75" s="108" t="s">
        <v>27</v>
      </c>
      <c r="B75" s="107" t="s">
        <v>71</v>
      </c>
      <c r="C75" s="109">
        <v>6299</v>
      </c>
      <c r="D75" s="109">
        <f>D71+D72+D73</f>
        <v>16333</v>
      </c>
      <c r="E75" s="109">
        <f>E71+E72</f>
        <v>5207</v>
      </c>
      <c r="F75" s="109">
        <f>F72+F73</f>
        <v>5960</v>
      </c>
      <c r="G75" s="109">
        <f>C75+D75+E75+F75</f>
        <v>33799</v>
      </c>
      <c r="H75" s="109">
        <f>+H71+H72+H73</f>
        <v>30</v>
      </c>
      <c r="I75" s="109">
        <f>(C75+D75+E75+F75)/H75</f>
        <v>1126.63333333333</v>
      </c>
      <c r="J75" s="112"/>
    </row>
    <row r="76" customHeight="1" spans="1:10">
      <c r="A76" s="110" t="s">
        <v>29</v>
      </c>
      <c r="B76" s="113" t="s">
        <v>30</v>
      </c>
      <c r="C76" s="113"/>
      <c r="D76" s="113"/>
      <c r="E76" s="113"/>
      <c r="F76" s="113"/>
      <c r="G76" s="113"/>
      <c r="H76" s="113"/>
      <c r="I76" s="113"/>
      <c r="J76" s="113"/>
    </row>
    <row r="77" customHeight="1" spans="1:10">
      <c r="A77" s="114"/>
      <c r="B77" s="113" t="s">
        <v>31</v>
      </c>
      <c r="C77" s="113"/>
      <c r="D77" s="113"/>
      <c r="E77" s="113"/>
      <c r="F77" s="113"/>
      <c r="G77" s="113"/>
      <c r="H77" s="113"/>
      <c r="I77" s="113"/>
      <c r="J77" s="113"/>
    </row>
    <row r="78" customHeight="1" spans="1:10">
      <c r="A78" s="114"/>
      <c r="B78" s="113" t="s">
        <v>32</v>
      </c>
      <c r="C78" s="113"/>
      <c r="D78" s="113"/>
      <c r="E78" s="113"/>
      <c r="F78" s="113"/>
      <c r="G78" s="113"/>
      <c r="H78" s="113"/>
      <c r="I78" s="113"/>
      <c r="J78" s="113"/>
    </row>
    <row r="79" customHeight="1" spans="1:10">
      <c r="A79" s="115"/>
      <c r="B79" s="113" t="s">
        <v>31</v>
      </c>
      <c r="C79" s="113"/>
      <c r="D79" s="113"/>
      <c r="E79" s="113"/>
      <c r="F79" s="113"/>
      <c r="G79" s="113"/>
      <c r="H79" s="113"/>
      <c r="I79" s="113"/>
      <c r="J79" s="113"/>
    </row>
    <row r="80" customHeight="1" spans="1:10">
      <c r="A80" s="116" t="s">
        <v>33</v>
      </c>
      <c r="B80" s="117"/>
      <c r="C80" s="117"/>
      <c r="D80" s="117"/>
      <c r="E80" s="117"/>
      <c r="F80" s="117"/>
      <c r="G80" s="117"/>
      <c r="H80" s="117"/>
      <c r="I80" s="117"/>
      <c r="J80" s="118"/>
    </row>
    <row r="81" customHeight="1" spans="1:10">
      <c r="A81" s="119" t="s">
        <v>34</v>
      </c>
      <c r="B81" s="119"/>
      <c r="C81" s="119"/>
      <c r="D81" s="119"/>
      <c r="E81" s="119"/>
      <c r="F81" s="119"/>
      <c r="G81" s="119"/>
      <c r="H81" s="119"/>
      <c r="I81" s="119"/>
      <c r="J81" s="119"/>
    </row>
    <row r="82" customHeight="1" spans="1:10">
      <c r="A82" s="86" t="s">
        <v>72</v>
      </c>
      <c r="B82" s="86"/>
      <c r="C82" s="86"/>
      <c r="D82" s="86"/>
      <c r="E82" s="86"/>
      <c r="F82" s="86"/>
      <c r="G82" s="86"/>
      <c r="H82" s="86"/>
      <c r="I82" s="86"/>
      <c r="J82" s="86"/>
    </row>
    <row r="83" customHeight="1" spans="1:10">
      <c r="A83" s="87" t="s">
        <v>1</v>
      </c>
      <c r="B83" s="87"/>
      <c r="C83" s="88" t="s">
        <v>2</v>
      </c>
      <c r="D83" s="89"/>
      <c r="E83" s="89"/>
      <c r="F83" s="89"/>
      <c r="G83" s="90"/>
      <c r="H83" s="88" t="s">
        <v>3</v>
      </c>
      <c r="I83" s="89"/>
      <c r="J83" s="91" t="s">
        <v>4</v>
      </c>
    </row>
    <row r="84" customHeight="1" spans="1:10">
      <c r="A84" s="87" t="s">
        <v>5</v>
      </c>
      <c r="B84" s="92" t="s">
        <v>6</v>
      </c>
      <c r="C84" s="93"/>
      <c r="D84" s="94"/>
      <c r="E84" s="94"/>
      <c r="F84" s="94"/>
      <c r="G84" s="95"/>
      <c r="H84" s="92"/>
      <c r="I84" s="96"/>
      <c r="J84" s="97"/>
    </row>
    <row r="85" customHeight="1" spans="1:10">
      <c r="A85" s="87"/>
      <c r="B85" s="98" t="s">
        <v>7</v>
      </c>
      <c r="C85" s="99" t="s">
        <v>8</v>
      </c>
      <c r="D85" s="100" t="s">
        <v>9</v>
      </c>
      <c r="E85" s="99" t="s">
        <v>10</v>
      </c>
      <c r="F85" s="87" t="s">
        <v>11</v>
      </c>
      <c r="G85" s="91" t="s">
        <v>12</v>
      </c>
      <c r="H85" s="88" t="s">
        <v>13</v>
      </c>
      <c r="I85" s="90"/>
      <c r="J85" s="97"/>
    </row>
    <row r="86" customHeight="1" spans="1:10">
      <c r="A86" s="87"/>
      <c r="B86" s="101"/>
      <c r="C86" s="87" t="s">
        <v>14</v>
      </c>
      <c r="D86" s="87" t="s">
        <v>14</v>
      </c>
      <c r="E86" s="87" t="s">
        <v>14</v>
      </c>
      <c r="F86" s="87"/>
      <c r="G86" s="102"/>
      <c r="H86" s="87" t="s">
        <v>15</v>
      </c>
      <c r="I86" s="87" t="s">
        <v>16</v>
      </c>
      <c r="J86" s="102"/>
    </row>
    <row r="87" customHeight="1" spans="1:10">
      <c r="A87" s="107" t="s">
        <v>73</v>
      </c>
      <c r="B87" s="107" t="s">
        <v>42</v>
      </c>
      <c r="C87" s="108"/>
      <c r="D87" s="108">
        <v>3664</v>
      </c>
      <c r="E87" s="108"/>
      <c r="F87" s="108"/>
      <c r="G87" s="109">
        <f t="shared" ref="G87:G92" si="3">C87+D87+E87+F87</f>
        <v>3664</v>
      </c>
      <c r="H87" s="108">
        <v>1</v>
      </c>
      <c r="I87" s="109">
        <f t="shared" ref="I87:I92" si="4">(C87+D87+E87+F87)/H87</f>
        <v>3664</v>
      </c>
      <c r="J87" s="110"/>
    </row>
    <row r="88" customHeight="1" spans="1:10">
      <c r="A88" s="107" t="s">
        <v>74</v>
      </c>
      <c r="B88" s="107" t="s">
        <v>46</v>
      </c>
      <c r="C88" s="108">
        <v>5705</v>
      </c>
      <c r="D88" s="108"/>
      <c r="E88" s="108"/>
      <c r="F88" s="108">
        <v>3366</v>
      </c>
      <c r="G88" s="109">
        <f t="shared" si="3"/>
        <v>9071</v>
      </c>
      <c r="H88" s="108">
        <v>2</v>
      </c>
      <c r="I88" s="109">
        <f t="shared" si="4"/>
        <v>4535.5</v>
      </c>
      <c r="J88" s="110"/>
    </row>
    <row r="89" customHeight="1" spans="1:10">
      <c r="A89" s="107" t="s">
        <v>75</v>
      </c>
      <c r="B89" s="107" t="s">
        <v>46</v>
      </c>
      <c r="C89" s="108"/>
      <c r="D89" s="108">
        <v>7561</v>
      </c>
      <c r="E89" s="108"/>
      <c r="F89" s="108"/>
      <c r="G89" s="109">
        <f t="shared" si="3"/>
        <v>7561</v>
      </c>
      <c r="H89" s="108">
        <v>2</v>
      </c>
      <c r="I89" s="109">
        <f t="shared" si="4"/>
        <v>3780.5</v>
      </c>
      <c r="J89" s="108" t="s">
        <v>24</v>
      </c>
    </row>
    <row r="90" customHeight="1" spans="1:10">
      <c r="A90" s="107" t="s">
        <v>76</v>
      </c>
      <c r="B90" s="111" t="s">
        <v>77</v>
      </c>
      <c r="C90" s="108"/>
      <c r="D90" s="108">
        <v>21941</v>
      </c>
      <c r="E90" s="108"/>
      <c r="F90" s="108"/>
      <c r="G90" s="109">
        <f t="shared" si="3"/>
        <v>21941</v>
      </c>
      <c r="H90" s="108">
        <v>3</v>
      </c>
      <c r="I90" s="109">
        <f t="shared" si="4"/>
        <v>7313.66666666667</v>
      </c>
      <c r="J90" s="108"/>
    </row>
    <row r="91" customHeight="1" spans="1:10">
      <c r="A91" s="107" t="s">
        <v>78</v>
      </c>
      <c r="B91" s="111" t="s">
        <v>79</v>
      </c>
      <c r="C91" s="108">
        <v>5370</v>
      </c>
      <c r="D91" s="108">
        <v>8578</v>
      </c>
      <c r="E91" s="108"/>
      <c r="F91" s="108">
        <v>1980</v>
      </c>
      <c r="G91" s="109">
        <f t="shared" si="3"/>
        <v>15928</v>
      </c>
      <c r="H91" s="108">
        <v>3</v>
      </c>
      <c r="I91" s="109">
        <f t="shared" si="4"/>
        <v>5309.33333333333</v>
      </c>
      <c r="J91" s="112"/>
    </row>
    <row r="92" customHeight="1" spans="1:10">
      <c r="A92" s="108" t="s">
        <v>27</v>
      </c>
      <c r="B92" s="107" t="s">
        <v>80</v>
      </c>
      <c r="C92" s="109">
        <v>11075</v>
      </c>
      <c r="D92" s="109">
        <f>D87+D88+D89+D90+D91</f>
        <v>41744</v>
      </c>
      <c r="E92" s="109"/>
      <c r="F92" s="109">
        <v>5346</v>
      </c>
      <c r="G92" s="109">
        <f t="shared" si="3"/>
        <v>58165</v>
      </c>
      <c r="H92" s="109">
        <v>11</v>
      </c>
      <c r="I92" s="109">
        <f t="shared" si="4"/>
        <v>5287.72727272727</v>
      </c>
      <c r="J92" s="112"/>
    </row>
    <row r="93" customHeight="1" spans="1:10">
      <c r="A93" s="110" t="s">
        <v>29</v>
      </c>
      <c r="B93" s="113" t="s">
        <v>30</v>
      </c>
      <c r="C93" s="113"/>
      <c r="D93" s="113"/>
      <c r="E93" s="113"/>
      <c r="F93" s="113"/>
      <c r="G93" s="113"/>
      <c r="H93" s="113"/>
      <c r="I93" s="113"/>
      <c r="J93" s="113"/>
    </row>
    <row r="94" customHeight="1" spans="1:10">
      <c r="A94" s="114"/>
      <c r="B94" s="113" t="s">
        <v>31</v>
      </c>
      <c r="C94" s="113"/>
      <c r="D94" s="113"/>
      <c r="E94" s="113"/>
      <c r="F94" s="113"/>
      <c r="G94" s="113"/>
      <c r="H94" s="113"/>
      <c r="I94" s="113"/>
      <c r="J94" s="113"/>
    </row>
    <row r="95" customHeight="1" spans="1:10">
      <c r="A95" s="114"/>
      <c r="B95" s="113" t="s">
        <v>32</v>
      </c>
      <c r="C95" s="113"/>
      <c r="D95" s="113"/>
      <c r="E95" s="113"/>
      <c r="F95" s="113"/>
      <c r="G95" s="113"/>
      <c r="H95" s="113"/>
      <c r="I95" s="113"/>
      <c r="J95" s="113"/>
    </row>
    <row r="96" customHeight="1" spans="1:10">
      <c r="A96" s="115"/>
      <c r="B96" s="113" t="s">
        <v>31</v>
      </c>
      <c r="C96" s="113"/>
      <c r="D96" s="113"/>
      <c r="E96" s="113"/>
      <c r="F96" s="113"/>
      <c r="G96" s="113"/>
      <c r="H96" s="113"/>
      <c r="I96" s="113"/>
      <c r="J96" s="113"/>
    </row>
    <row r="97" customHeight="1" spans="1:10">
      <c r="A97" s="116" t="s">
        <v>33</v>
      </c>
      <c r="B97" s="117"/>
      <c r="C97" s="117"/>
      <c r="D97" s="117"/>
      <c r="E97" s="117"/>
      <c r="F97" s="117"/>
      <c r="G97" s="117"/>
      <c r="H97" s="117"/>
      <c r="I97" s="117"/>
      <c r="J97" s="118"/>
    </row>
    <row r="98" customHeight="1" spans="1:10">
      <c r="A98" s="119" t="s">
        <v>34</v>
      </c>
      <c r="B98" s="119"/>
      <c r="C98" s="119"/>
      <c r="D98" s="119"/>
      <c r="E98" s="119"/>
      <c r="F98" s="119"/>
      <c r="G98" s="119"/>
      <c r="H98" s="119"/>
      <c r="I98" s="119"/>
      <c r="J98" s="119"/>
    </row>
    <row r="99" customHeight="1" spans="1:10">
      <c r="A99" s="86" t="s">
        <v>81</v>
      </c>
      <c r="B99" s="86"/>
      <c r="C99" s="86"/>
      <c r="D99" s="86"/>
      <c r="E99" s="86"/>
      <c r="F99" s="86"/>
      <c r="G99" s="86"/>
      <c r="H99" s="86"/>
      <c r="I99" s="86"/>
      <c r="J99" s="86"/>
    </row>
    <row r="100" customHeight="1" spans="1:10">
      <c r="A100" s="87" t="s">
        <v>1</v>
      </c>
      <c r="B100" s="87"/>
      <c r="C100" s="88" t="s">
        <v>2</v>
      </c>
      <c r="D100" s="89"/>
      <c r="E100" s="89"/>
      <c r="F100" s="89"/>
      <c r="G100" s="90"/>
      <c r="H100" s="88" t="s">
        <v>3</v>
      </c>
      <c r="I100" s="89"/>
      <c r="J100" s="91" t="s">
        <v>4</v>
      </c>
    </row>
    <row r="101" customHeight="1" spans="1:10">
      <c r="A101" s="87" t="s">
        <v>5</v>
      </c>
      <c r="B101" s="92" t="s">
        <v>6</v>
      </c>
      <c r="C101" s="93"/>
      <c r="D101" s="94"/>
      <c r="E101" s="94"/>
      <c r="F101" s="94"/>
      <c r="G101" s="95"/>
      <c r="H101" s="92"/>
      <c r="I101" s="96"/>
      <c r="J101" s="97"/>
    </row>
    <row r="102" customHeight="1" spans="1:10">
      <c r="A102" s="87"/>
      <c r="B102" s="98" t="s">
        <v>7</v>
      </c>
      <c r="C102" s="99" t="s">
        <v>8</v>
      </c>
      <c r="D102" s="100" t="s">
        <v>9</v>
      </c>
      <c r="E102" s="99" t="s">
        <v>10</v>
      </c>
      <c r="F102" s="87" t="s">
        <v>11</v>
      </c>
      <c r="G102" s="91" t="s">
        <v>12</v>
      </c>
      <c r="H102" s="88" t="s">
        <v>13</v>
      </c>
      <c r="I102" s="90"/>
      <c r="J102" s="97"/>
    </row>
    <row r="103" customHeight="1" spans="1:10">
      <c r="A103" s="87"/>
      <c r="B103" s="101"/>
      <c r="C103" s="87" t="s">
        <v>14</v>
      </c>
      <c r="D103" s="87" t="s">
        <v>14</v>
      </c>
      <c r="E103" s="87" t="s">
        <v>14</v>
      </c>
      <c r="F103" s="87"/>
      <c r="G103" s="102"/>
      <c r="H103" s="87" t="s">
        <v>15</v>
      </c>
      <c r="I103" s="87" t="s">
        <v>16</v>
      </c>
      <c r="J103" s="102"/>
    </row>
    <row r="104" customHeight="1" spans="1:10">
      <c r="A104" s="107" t="s">
        <v>82</v>
      </c>
      <c r="B104" s="107" t="s">
        <v>42</v>
      </c>
      <c r="C104" s="108"/>
      <c r="D104" s="108"/>
      <c r="E104" s="108">
        <v>2243</v>
      </c>
      <c r="F104" s="108"/>
      <c r="G104" s="109">
        <f>C104+D104+E104+F104</f>
        <v>2243</v>
      </c>
      <c r="H104" s="108">
        <v>1</v>
      </c>
      <c r="I104" s="109">
        <f>(C104+D104+E104+F104)/H104</f>
        <v>2243</v>
      </c>
      <c r="J104" s="110"/>
    </row>
    <row r="105" customHeight="1" spans="1:10">
      <c r="A105" s="107" t="s">
        <v>83</v>
      </c>
      <c r="B105" s="107" t="s">
        <v>26</v>
      </c>
      <c r="C105" s="108"/>
      <c r="D105" s="108"/>
      <c r="E105" s="108"/>
      <c r="F105" s="108"/>
      <c r="G105" s="109">
        <f>C105+D105+E105+F105</f>
        <v>0</v>
      </c>
      <c r="H105" s="108"/>
      <c r="I105" s="109" t="e">
        <f>(C105+D105+E105+F105)/H105</f>
        <v>#DIV/0!</v>
      </c>
      <c r="J105" s="110"/>
    </row>
    <row r="106" customHeight="1" spans="1:10">
      <c r="A106" s="107" t="s">
        <v>84</v>
      </c>
      <c r="B106" s="107" t="s">
        <v>26</v>
      </c>
      <c r="C106" s="108"/>
      <c r="D106" s="108"/>
      <c r="E106" s="108"/>
      <c r="F106" s="108"/>
      <c r="G106" s="109">
        <f>C106+D106+E106+F106</f>
        <v>0</v>
      </c>
      <c r="H106" s="108"/>
      <c r="I106" s="109" t="e">
        <f>(C106+D106+E106+F106)/H106</f>
        <v>#DIV/0!</v>
      </c>
      <c r="J106" s="108" t="s">
        <v>24</v>
      </c>
    </row>
    <row r="107" customHeight="1" spans="1:10">
      <c r="A107" s="107" t="s">
        <v>85</v>
      </c>
      <c r="B107" s="111" t="s">
        <v>42</v>
      </c>
      <c r="C107" s="108"/>
      <c r="D107" s="108">
        <v>3200</v>
      </c>
      <c r="E107" s="108"/>
      <c r="F107" s="108"/>
      <c r="G107" s="109">
        <f>C107+D107+E107+F107</f>
        <v>3200</v>
      </c>
      <c r="H107" s="108">
        <v>1</v>
      </c>
      <c r="I107" s="109">
        <f>(C107+D107+E107+F107)/H107</f>
        <v>3200</v>
      </c>
      <c r="J107" s="108"/>
    </row>
    <row r="108" customHeight="1" spans="1:10">
      <c r="A108" s="108" t="s">
        <v>27</v>
      </c>
      <c r="B108" s="107" t="s">
        <v>46</v>
      </c>
      <c r="C108" s="109">
        <v>0</v>
      </c>
      <c r="D108" s="109">
        <f>D104+D105+D106+D107</f>
        <v>3200</v>
      </c>
      <c r="E108" s="109">
        <f>E104+E105+E106+E107</f>
        <v>2243</v>
      </c>
      <c r="F108" s="109">
        <f>F104+F105+F106+F107</f>
        <v>0</v>
      </c>
      <c r="G108" s="109">
        <f>G104+G105+G106+G107</f>
        <v>5443</v>
      </c>
      <c r="H108" s="109">
        <f>H104+H105+H106+H107</f>
        <v>2</v>
      </c>
      <c r="I108" s="109">
        <f>G108/H108</f>
        <v>2721.5</v>
      </c>
      <c r="J108" s="112"/>
    </row>
    <row r="109" customHeight="1" spans="1:10">
      <c r="A109" s="110" t="s">
        <v>29</v>
      </c>
      <c r="B109" s="113" t="s">
        <v>30</v>
      </c>
      <c r="C109" s="113"/>
      <c r="D109" s="113"/>
      <c r="E109" s="113"/>
      <c r="F109" s="113"/>
      <c r="G109" s="113"/>
      <c r="H109" s="113"/>
      <c r="I109" s="113"/>
      <c r="J109" s="113"/>
    </row>
    <row r="110" customHeight="1" spans="1:10">
      <c r="A110" s="114"/>
      <c r="B110" s="113" t="s">
        <v>31</v>
      </c>
      <c r="C110" s="113"/>
      <c r="D110" s="113"/>
      <c r="E110" s="113"/>
      <c r="F110" s="113"/>
      <c r="G110" s="113"/>
      <c r="H110" s="113"/>
      <c r="I110" s="113"/>
      <c r="J110" s="113"/>
    </row>
    <row r="111" customHeight="1" spans="1:10">
      <c r="A111" s="114"/>
      <c r="B111" s="113" t="s">
        <v>32</v>
      </c>
      <c r="C111" s="113"/>
      <c r="D111" s="113"/>
      <c r="E111" s="113"/>
      <c r="F111" s="113"/>
      <c r="G111" s="113"/>
      <c r="H111" s="113"/>
      <c r="I111" s="113"/>
      <c r="J111" s="113"/>
    </row>
    <row r="112" customHeight="1" spans="1:10">
      <c r="A112" s="115"/>
      <c r="B112" s="113" t="s">
        <v>31</v>
      </c>
      <c r="C112" s="113"/>
      <c r="D112" s="113"/>
      <c r="E112" s="113"/>
      <c r="F112" s="113"/>
      <c r="G112" s="113"/>
      <c r="H112" s="113"/>
      <c r="I112" s="113"/>
      <c r="J112" s="113"/>
    </row>
    <row r="113" customHeight="1" spans="1:10">
      <c r="A113" s="116" t="s">
        <v>33</v>
      </c>
      <c r="B113" s="117"/>
      <c r="C113" s="117"/>
      <c r="D113" s="117"/>
      <c r="E113" s="117"/>
      <c r="F113" s="117"/>
      <c r="G113" s="117"/>
      <c r="H113" s="117"/>
      <c r="I113" s="117"/>
      <c r="J113" s="118"/>
    </row>
    <row r="114" customHeight="1" spans="1:10">
      <c r="A114" s="119" t="s">
        <v>34</v>
      </c>
      <c r="B114" s="119"/>
      <c r="C114" s="119"/>
      <c r="D114" s="119"/>
      <c r="E114" s="119"/>
      <c r="F114" s="119"/>
      <c r="G114" s="119"/>
      <c r="H114" s="119"/>
      <c r="I114" s="119"/>
      <c r="J114" s="119"/>
    </row>
    <row r="115" customHeight="1" spans="1:10">
      <c r="A115" s="86" t="s">
        <v>86</v>
      </c>
      <c r="B115" s="86"/>
      <c r="C115" s="86"/>
      <c r="D115" s="86"/>
      <c r="E115" s="86"/>
      <c r="F115" s="86"/>
      <c r="G115" s="86"/>
      <c r="H115" s="86"/>
      <c r="I115" s="86"/>
      <c r="J115" s="86"/>
    </row>
    <row r="116" customHeight="1" spans="1:10">
      <c r="A116" s="87" t="s">
        <v>1</v>
      </c>
      <c r="B116" s="87"/>
      <c r="C116" s="88" t="s">
        <v>2</v>
      </c>
      <c r="D116" s="89"/>
      <c r="E116" s="89"/>
      <c r="F116" s="89"/>
      <c r="G116" s="90"/>
      <c r="H116" s="88" t="s">
        <v>3</v>
      </c>
      <c r="I116" s="89"/>
      <c r="J116" s="91" t="s">
        <v>4</v>
      </c>
    </row>
    <row r="117" customHeight="1" spans="1:10">
      <c r="A117" s="87" t="s">
        <v>5</v>
      </c>
      <c r="B117" s="92" t="s">
        <v>6</v>
      </c>
      <c r="C117" s="93"/>
      <c r="D117" s="94"/>
      <c r="E117" s="94"/>
      <c r="F117" s="94"/>
      <c r="G117" s="95"/>
      <c r="H117" s="92"/>
      <c r="I117" s="96"/>
      <c r="J117" s="97"/>
    </row>
    <row r="118" customHeight="1" spans="1:10">
      <c r="A118" s="87"/>
      <c r="B118" s="98" t="s">
        <v>7</v>
      </c>
      <c r="C118" s="99" t="s">
        <v>8</v>
      </c>
      <c r="D118" s="100" t="s">
        <v>9</v>
      </c>
      <c r="E118" s="99" t="s">
        <v>10</v>
      </c>
      <c r="F118" s="87" t="s">
        <v>11</v>
      </c>
      <c r="G118" s="91" t="s">
        <v>12</v>
      </c>
      <c r="H118" s="88" t="s">
        <v>13</v>
      </c>
      <c r="I118" s="90"/>
      <c r="J118" s="97"/>
    </row>
    <row r="119" customHeight="1" spans="1:10">
      <c r="A119" s="87"/>
      <c r="B119" s="101"/>
      <c r="C119" s="87" t="s">
        <v>14</v>
      </c>
      <c r="D119" s="87" t="s">
        <v>14</v>
      </c>
      <c r="E119" s="87" t="s">
        <v>14</v>
      </c>
      <c r="F119" s="87"/>
      <c r="G119" s="102"/>
      <c r="H119" s="87" t="s">
        <v>15</v>
      </c>
      <c r="I119" s="87" t="s">
        <v>16</v>
      </c>
      <c r="J119" s="102"/>
    </row>
    <row r="120" customHeight="1" spans="1:10">
      <c r="A120" s="107" t="s">
        <v>87</v>
      </c>
      <c r="B120" s="107" t="s">
        <v>88</v>
      </c>
      <c r="C120" s="108">
        <v>14279</v>
      </c>
      <c r="D120" s="108">
        <v>6330.5</v>
      </c>
      <c r="E120" s="108">
        <v>5330</v>
      </c>
      <c r="F120" s="108"/>
      <c r="G120" s="109">
        <f>C120+D120+E120+F120</f>
        <v>25939.5</v>
      </c>
      <c r="H120" s="108">
        <v>6</v>
      </c>
      <c r="I120" s="109">
        <f>(C120+D120+E120+F120)/H120</f>
        <v>4323.25</v>
      </c>
      <c r="J120" s="110"/>
    </row>
    <row r="121" customHeight="1" spans="1:10">
      <c r="A121" s="107" t="s">
        <v>89</v>
      </c>
      <c r="B121" s="107" t="s">
        <v>90</v>
      </c>
      <c r="C121" s="108"/>
      <c r="D121" s="108">
        <v>16986</v>
      </c>
      <c r="E121" s="108">
        <v>3200</v>
      </c>
      <c r="F121" s="108"/>
      <c r="G121" s="109">
        <f t="shared" ref="G120:G123" si="5">C121+D121+E121+F121</f>
        <v>20186</v>
      </c>
      <c r="H121" s="108">
        <v>5</v>
      </c>
      <c r="I121" s="109">
        <f t="shared" ref="I120:I123" si="6">(C121+D121+E121+F121)/H121</f>
        <v>4037.2</v>
      </c>
      <c r="J121" s="110"/>
    </row>
    <row r="122" customHeight="1" spans="1:10">
      <c r="A122" s="107" t="s">
        <v>91</v>
      </c>
      <c r="B122" s="107" t="s">
        <v>92</v>
      </c>
      <c r="C122" s="108">
        <v>8997</v>
      </c>
      <c r="D122" s="108">
        <v>11076</v>
      </c>
      <c r="E122" s="108">
        <v>2160</v>
      </c>
      <c r="F122" s="108"/>
      <c r="G122" s="109">
        <f t="shared" si="5"/>
        <v>22233</v>
      </c>
      <c r="H122" s="108">
        <v>5</v>
      </c>
      <c r="I122" s="109">
        <f t="shared" si="6"/>
        <v>4446.6</v>
      </c>
      <c r="J122" s="108" t="s">
        <v>24</v>
      </c>
    </row>
    <row r="123" customHeight="1" spans="1:10">
      <c r="A123" s="107" t="s">
        <v>93</v>
      </c>
      <c r="B123" s="111" t="s">
        <v>94</v>
      </c>
      <c r="C123" s="108">
        <v>19996</v>
      </c>
      <c r="D123" s="108">
        <v>3281</v>
      </c>
      <c r="E123" s="108">
        <v>3200</v>
      </c>
      <c r="F123" s="108"/>
      <c r="G123" s="109">
        <f t="shared" si="5"/>
        <v>26477</v>
      </c>
      <c r="H123" s="108">
        <v>4</v>
      </c>
      <c r="I123" s="109">
        <f t="shared" si="6"/>
        <v>6619.25</v>
      </c>
      <c r="J123" s="108"/>
    </row>
    <row r="124" customHeight="1" spans="1:10">
      <c r="A124" s="108" t="s">
        <v>27</v>
      </c>
      <c r="B124" s="107" t="s">
        <v>95</v>
      </c>
      <c r="C124" s="109">
        <f>C120+C121+C122+C123</f>
        <v>43272</v>
      </c>
      <c r="D124" s="109">
        <f>D120+D121+D122+D123</f>
        <v>37673.5</v>
      </c>
      <c r="E124" s="109">
        <f t="shared" ref="D124:H124" si="7">E120+E121+E122+E123</f>
        <v>13890</v>
      </c>
      <c r="F124" s="109">
        <f t="shared" si="7"/>
        <v>0</v>
      </c>
      <c r="G124" s="109">
        <f t="shared" si="7"/>
        <v>94835.5</v>
      </c>
      <c r="H124" s="109">
        <f t="shared" si="7"/>
        <v>20</v>
      </c>
      <c r="I124" s="109">
        <f>G124/H124</f>
        <v>4741.775</v>
      </c>
      <c r="J124" s="112"/>
    </row>
    <row r="125" customHeight="1" spans="1:10">
      <c r="A125" s="110" t="s">
        <v>29</v>
      </c>
      <c r="B125" s="113" t="s">
        <v>30</v>
      </c>
      <c r="C125" s="113"/>
      <c r="D125" s="113"/>
      <c r="E125" s="113"/>
      <c r="F125" s="113"/>
      <c r="G125" s="113"/>
      <c r="H125" s="113"/>
      <c r="I125" s="113"/>
      <c r="J125" s="113"/>
    </row>
    <row r="126" customHeight="1" spans="1:10">
      <c r="A126" s="114"/>
      <c r="B126" s="113" t="s">
        <v>31</v>
      </c>
      <c r="C126" s="113"/>
      <c r="D126" s="113"/>
      <c r="E126" s="113"/>
      <c r="F126" s="113"/>
      <c r="G126" s="113"/>
      <c r="H126" s="113"/>
      <c r="I126" s="113"/>
      <c r="J126" s="113"/>
    </row>
    <row r="127" customHeight="1" spans="1:10">
      <c r="A127" s="114"/>
      <c r="B127" s="113" t="s">
        <v>32</v>
      </c>
      <c r="C127" s="113"/>
      <c r="D127" s="113"/>
      <c r="E127" s="113"/>
      <c r="F127" s="113"/>
      <c r="G127" s="113"/>
      <c r="H127" s="113"/>
      <c r="I127" s="113"/>
      <c r="J127" s="113"/>
    </row>
    <row r="128" customHeight="1" spans="1:10">
      <c r="A128" s="115"/>
      <c r="B128" s="113" t="s">
        <v>31</v>
      </c>
      <c r="C128" s="113"/>
      <c r="D128" s="113"/>
      <c r="E128" s="113"/>
      <c r="F128" s="113"/>
      <c r="G128" s="113"/>
      <c r="H128" s="113"/>
      <c r="I128" s="113"/>
      <c r="J128" s="113"/>
    </row>
    <row r="129" customHeight="1" spans="1:10">
      <c r="A129" s="116" t="s">
        <v>33</v>
      </c>
      <c r="B129" s="117"/>
      <c r="C129" s="117"/>
      <c r="D129" s="117"/>
      <c r="E129" s="117"/>
      <c r="F129" s="117"/>
      <c r="G129" s="117"/>
      <c r="H129" s="117"/>
      <c r="I129" s="117"/>
      <c r="J129" s="118"/>
    </row>
    <row r="130" customHeight="1" spans="1:10">
      <c r="A130" s="119" t="s">
        <v>34</v>
      </c>
      <c r="B130" s="119"/>
      <c r="C130" s="119"/>
      <c r="D130" s="119"/>
      <c r="E130" s="119"/>
      <c r="F130" s="119"/>
      <c r="G130" s="119"/>
      <c r="H130" s="119"/>
      <c r="I130" s="119"/>
      <c r="J130" s="119"/>
    </row>
    <row r="131" customHeight="1" spans="1:10">
      <c r="A131" s="86" t="s">
        <v>96</v>
      </c>
      <c r="B131" s="86"/>
      <c r="C131" s="86"/>
      <c r="D131" s="86"/>
      <c r="E131" s="86"/>
      <c r="F131" s="86"/>
      <c r="G131" s="86"/>
      <c r="H131" s="86"/>
      <c r="I131" s="86"/>
      <c r="J131" s="86"/>
    </row>
    <row r="132" customHeight="1" spans="1:10">
      <c r="A132" s="87" t="s">
        <v>1</v>
      </c>
      <c r="B132" s="87"/>
      <c r="C132" s="88" t="s">
        <v>2</v>
      </c>
      <c r="D132" s="89"/>
      <c r="E132" s="89"/>
      <c r="F132" s="89"/>
      <c r="G132" s="90"/>
      <c r="H132" s="88" t="s">
        <v>3</v>
      </c>
      <c r="I132" s="89"/>
      <c r="J132" s="91" t="s">
        <v>4</v>
      </c>
    </row>
    <row r="133" customHeight="1" spans="1:10">
      <c r="A133" s="87" t="s">
        <v>5</v>
      </c>
      <c r="B133" s="92" t="s">
        <v>6</v>
      </c>
      <c r="C133" s="93"/>
      <c r="D133" s="94"/>
      <c r="E133" s="94"/>
      <c r="F133" s="94"/>
      <c r="G133" s="95"/>
      <c r="H133" s="92"/>
      <c r="I133" s="96"/>
      <c r="J133" s="97"/>
    </row>
    <row r="134" customHeight="1" spans="1:10">
      <c r="A134" s="87"/>
      <c r="B134" s="98" t="s">
        <v>7</v>
      </c>
      <c r="C134" s="99" t="s">
        <v>8</v>
      </c>
      <c r="D134" s="100" t="s">
        <v>9</v>
      </c>
      <c r="E134" s="99" t="s">
        <v>10</v>
      </c>
      <c r="F134" s="87" t="s">
        <v>11</v>
      </c>
      <c r="G134" s="91" t="s">
        <v>12</v>
      </c>
      <c r="H134" s="88" t="s">
        <v>13</v>
      </c>
      <c r="I134" s="90"/>
      <c r="J134" s="97"/>
    </row>
    <row r="135" customHeight="1" spans="1:10">
      <c r="A135" s="87"/>
      <c r="B135" s="101"/>
      <c r="C135" s="87" t="s">
        <v>14</v>
      </c>
      <c r="D135" s="87" t="s">
        <v>14</v>
      </c>
      <c r="E135" s="87" t="s">
        <v>14</v>
      </c>
      <c r="F135" s="87"/>
      <c r="G135" s="102"/>
      <c r="H135" s="87" t="s">
        <v>15</v>
      </c>
      <c r="I135" s="87" t="s">
        <v>16</v>
      </c>
      <c r="J135" s="102"/>
    </row>
    <row r="136" customHeight="1" spans="1:10">
      <c r="A136" s="107" t="s">
        <v>97</v>
      </c>
      <c r="B136" s="107" t="s">
        <v>42</v>
      </c>
      <c r="C136" s="108"/>
      <c r="D136" s="108">
        <v>3281</v>
      </c>
      <c r="E136" s="108"/>
      <c r="F136" s="108"/>
      <c r="G136" s="109">
        <f>C136+D136+E136+F136</f>
        <v>3281</v>
      </c>
      <c r="H136" s="108">
        <v>1</v>
      </c>
      <c r="I136" s="109">
        <f>(C136+D136+E136+F136)/H136</f>
        <v>3281</v>
      </c>
      <c r="J136" s="110"/>
    </row>
    <row r="137" customHeight="1" spans="1:10">
      <c r="A137" s="107" t="s">
        <v>98</v>
      </c>
      <c r="B137" s="107" t="s">
        <v>42</v>
      </c>
      <c r="C137" s="108"/>
      <c r="D137" s="108">
        <v>1946</v>
      </c>
      <c r="E137" s="108"/>
      <c r="F137" s="108"/>
      <c r="G137" s="109">
        <f>C137+D137+E137+F137</f>
        <v>1946</v>
      </c>
      <c r="H137" s="108">
        <v>1</v>
      </c>
      <c r="I137" s="109">
        <f>(C137+D137+E137+F137)/H137</f>
        <v>1946</v>
      </c>
      <c r="J137" s="110"/>
    </row>
    <row r="138" customHeight="1" spans="1:10">
      <c r="A138" s="107" t="s">
        <v>99</v>
      </c>
      <c r="B138" s="107" t="s">
        <v>48</v>
      </c>
      <c r="C138" s="108">
        <v>5999</v>
      </c>
      <c r="D138" s="108">
        <v>4660</v>
      </c>
      <c r="E138" s="108"/>
      <c r="F138" s="108">
        <v>1000</v>
      </c>
      <c r="G138" s="109">
        <f>C138+D138+E138+F138</f>
        <v>11659</v>
      </c>
      <c r="H138" s="108">
        <v>3</v>
      </c>
      <c r="I138" s="109">
        <f>(C138+D138+E138+F138)/H138</f>
        <v>3886.33333333333</v>
      </c>
      <c r="J138" s="108" t="s">
        <v>100</v>
      </c>
    </row>
    <row r="139" customHeight="1" spans="1:10">
      <c r="A139" s="107" t="s">
        <v>101</v>
      </c>
      <c r="B139" s="111" t="s">
        <v>79</v>
      </c>
      <c r="C139" s="108"/>
      <c r="D139" s="108">
        <v>5838</v>
      </c>
      <c r="E139" s="108"/>
      <c r="F139" s="108"/>
      <c r="G139" s="109">
        <f>C139+D139+E139+F139</f>
        <v>5838</v>
      </c>
      <c r="H139" s="108">
        <v>3</v>
      </c>
      <c r="I139" s="109">
        <f>(C139+D139+E139+F139)/H139</f>
        <v>1946</v>
      </c>
      <c r="J139" s="108"/>
    </row>
    <row r="140" customHeight="1" spans="1:10">
      <c r="A140" s="108" t="s">
        <v>27</v>
      </c>
      <c r="B140" s="107" t="s">
        <v>102</v>
      </c>
      <c r="C140" s="109">
        <f>C136+C137+C138+C139</f>
        <v>5999</v>
      </c>
      <c r="D140" s="109">
        <f>D136+D137+D138+D139</f>
        <v>15725</v>
      </c>
      <c r="E140" s="109"/>
      <c r="F140" s="109"/>
      <c r="G140" s="109">
        <f>C140+D140+E140+F140</f>
        <v>21724</v>
      </c>
      <c r="H140" s="109">
        <v>8</v>
      </c>
      <c r="I140" s="109">
        <f>(C140+D140+E140+F140)/H140</f>
        <v>2715.5</v>
      </c>
      <c r="J140" s="112"/>
    </row>
    <row r="141" customHeight="1" spans="1:10">
      <c r="A141" s="110" t="s">
        <v>29</v>
      </c>
      <c r="B141" s="113" t="s">
        <v>30</v>
      </c>
      <c r="C141" s="113"/>
      <c r="D141" s="113"/>
      <c r="E141" s="113"/>
      <c r="F141" s="113"/>
      <c r="G141" s="113"/>
      <c r="H141" s="113"/>
      <c r="I141" s="113"/>
      <c r="J141" s="113"/>
    </row>
    <row r="142" customHeight="1" spans="1:10">
      <c r="A142" s="114"/>
      <c r="B142" s="113" t="s">
        <v>31</v>
      </c>
      <c r="C142" s="113"/>
      <c r="D142" s="113"/>
      <c r="E142" s="113"/>
      <c r="F142" s="113"/>
      <c r="G142" s="113"/>
      <c r="H142" s="113"/>
      <c r="I142" s="113"/>
      <c r="J142" s="113"/>
    </row>
    <row r="143" customHeight="1" spans="1:10">
      <c r="A143" s="114"/>
      <c r="B143" s="113" t="s">
        <v>32</v>
      </c>
      <c r="C143" s="113"/>
      <c r="D143" s="113"/>
      <c r="E143" s="113"/>
      <c r="F143" s="113"/>
      <c r="G143" s="113"/>
      <c r="H143" s="113"/>
      <c r="I143" s="113"/>
      <c r="J143" s="113"/>
    </row>
    <row r="144" customHeight="1" spans="1:10">
      <c r="A144" s="115"/>
      <c r="B144" s="113" t="s">
        <v>31</v>
      </c>
      <c r="C144" s="113"/>
      <c r="D144" s="113"/>
      <c r="E144" s="113"/>
      <c r="F144" s="113"/>
      <c r="G144" s="113"/>
      <c r="H144" s="113"/>
      <c r="I144" s="113"/>
      <c r="J144" s="113"/>
    </row>
    <row r="145" customHeight="1" spans="1:10">
      <c r="A145" s="116" t="s">
        <v>33</v>
      </c>
      <c r="B145" s="117"/>
      <c r="C145" s="117"/>
      <c r="D145" s="117"/>
      <c r="E145" s="117"/>
      <c r="F145" s="117"/>
      <c r="G145" s="117"/>
      <c r="H145" s="117"/>
      <c r="I145" s="117"/>
      <c r="J145" s="118"/>
    </row>
    <row r="146" customHeight="1" spans="1:10">
      <c r="A146" s="119" t="s">
        <v>34</v>
      </c>
      <c r="B146" s="119"/>
      <c r="C146" s="119"/>
      <c r="D146" s="119"/>
      <c r="E146" s="119"/>
      <c r="F146" s="119"/>
      <c r="G146" s="119"/>
      <c r="H146" s="119"/>
      <c r="I146" s="119"/>
      <c r="J146" s="119"/>
    </row>
    <row r="147" customHeight="1" spans="1:10">
      <c r="A147" s="86" t="s">
        <v>103</v>
      </c>
      <c r="B147" s="86"/>
      <c r="C147" s="86"/>
      <c r="D147" s="86"/>
      <c r="E147" s="86"/>
      <c r="F147" s="86"/>
      <c r="G147" s="86"/>
      <c r="H147" s="86"/>
      <c r="I147" s="86"/>
      <c r="J147" s="86"/>
    </row>
    <row r="148" customHeight="1" spans="1:10">
      <c r="A148" s="87" t="s">
        <v>1</v>
      </c>
      <c r="B148" s="87"/>
      <c r="C148" s="88" t="s">
        <v>2</v>
      </c>
      <c r="D148" s="89"/>
      <c r="E148" s="89"/>
      <c r="F148" s="89"/>
      <c r="G148" s="90"/>
      <c r="H148" s="88" t="s">
        <v>3</v>
      </c>
      <c r="I148" s="89"/>
      <c r="J148" s="91" t="s">
        <v>4</v>
      </c>
    </row>
    <row r="149" customHeight="1" spans="1:10">
      <c r="A149" s="87" t="s">
        <v>5</v>
      </c>
      <c r="B149" s="92" t="s">
        <v>6</v>
      </c>
      <c r="C149" s="93"/>
      <c r="D149" s="94"/>
      <c r="E149" s="94"/>
      <c r="F149" s="94"/>
      <c r="G149" s="95"/>
      <c r="H149" s="92"/>
      <c r="I149" s="96"/>
      <c r="J149" s="97"/>
    </row>
    <row r="150" customHeight="1" spans="1:10">
      <c r="A150" s="87"/>
      <c r="B150" s="98" t="s">
        <v>7</v>
      </c>
      <c r="C150" s="99" t="s">
        <v>8</v>
      </c>
      <c r="D150" s="100" t="s">
        <v>9</v>
      </c>
      <c r="E150" s="99" t="s">
        <v>10</v>
      </c>
      <c r="F150" s="87" t="s">
        <v>11</v>
      </c>
      <c r="G150" s="91" t="s">
        <v>12</v>
      </c>
      <c r="H150" s="88" t="s">
        <v>13</v>
      </c>
      <c r="I150" s="90"/>
      <c r="J150" s="97"/>
    </row>
    <row r="151" customHeight="1" spans="1:10">
      <c r="A151" s="87"/>
      <c r="B151" s="101"/>
      <c r="C151" s="87" t="s">
        <v>14</v>
      </c>
      <c r="D151" s="87" t="s">
        <v>14</v>
      </c>
      <c r="E151" s="87" t="s">
        <v>14</v>
      </c>
      <c r="F151" s="87"/>
      <c r="G151" s="102"/>
      <c r="H151" s="87" t="s">
        <v>15</v>
      </c>
      <c r="I151" s="87" t="s">
        <v>16</v>
      </c>
      <c r="J151" s="102"/>
    </row>
    <row r="152" customHeight="1" spans="1:10">
      <c r="A152" s="107" t="s">
        <v>104</v>
      </c>
      <c r="B152" s="107" t="s">
        <v>105</v>
      </c>
      <c r="C152" s="108">
        <v>20400</v>
      </c>
      <c r="D152" s="108">
        <v>5506</v>
      </c>
      <c r="E152" s="108"/>
      <c r="F152" s="108">
        <v>1980</v>
      </c>
      <c r="G152" s="109">
        <f>C152+D152+E152+F152</f>
        <v>27886</v>
      </c>
      <c r="H152" s="108">
        <v>4</v>
      </c>
      <c r="I152" s="109">
        <f>(C152+D152+E152+F152)/H152</f>
        <v>6971.5</v>
      </c>
      <c r="J152" s="110"/>
    </row>
    <row r="153" customHeight="1" spans="1:10">
      <c r="A153" s="107" t="s">
        <v>106</v>
      </c>
      <c r="B153" s="107" t="s">
        <v>79</v>
      </c>
      <c r="C153" s="108">
        <v>5999</v>
      </c>
      <c r="D153" s="108"/>
      <c r="E153" s="108">
        <v>2330</v>
      </c>
      <c r="F153" s="108">
        <v>1986</v>
      </c>
      <c r="G153" s="109">
        <f>C153+D153+E153+F153</f>
        <v>10315</v>
      </c>
      <c r="H153" s="108">
        <v>3</v>
      </c>
      <c r="I153" s="109">
        <f>(C153+D153+E153+F153)/H153</f>
        <v>3438.33333333333</v>
      </c>
      <c r="J153" s="110"/>
    </row>
    <row r="154" customHeight="1" spans="1:10">
      <c r="A154" s="107" t="s">
        <v>107</v>
      </c>
      <c r="B154" s="107" t="s">
        <v>26</v>
      </c>
      <c r="C154" s="108"/>
      <c r="D154" s="108"/>
      <c r="E154" s="108"/>
      <c r="G154" s="109">
        <f>C154+D154+E154+F154</f>
        <v>0</v>
      </c>
      <c r="H154" s="108">
        <v>0</v>
      </c>
      <c r="I154" s="109" t="e">
        <f>(C154+D154+E154+F153)/H154</f>
        <v>#DIV/0!</v>
      </c>
      <c r="J154" s="108"/>
    </row>
    <row r="155" customHeight="1" spans="1:10">
      <c r="A155" s="107" t="s">
        <v>108</v>
      </c>
      <c r="B155" s="111" t="s">
        <v>65</v>
      </c>
      <c r="C155" s="108">
        <v>13140</v>
      </c>
      <c r="D155" s="108">
        <v>12199</v>
      </c>
      <c r="E155" s="108"/>
      <c r="F155" s="108">
        <v>6999</v>
      </c>
      <c r="G155" s="109">
        <f>C155+D155+E155+F155</f>
        <v>32338</v>
      </c>
      <c r="H155" s="108">
        <v>4</v>
      </c>
      <c r="I155" s="109">
        <f>(C155+D155+E155+F156)/H155</f>
        <v>9076</v>
      </c>
      <c r="J155" s="108"/>
    </row>
    <row r="156" customHeight="1" spans="1:10">
      <c r="A156" s="108" t="s">
        <v>27</v>
      </c>
      <c r="B156" s="107" t="s">
        <v>109</v>
      </c>
      <c r="C156" s="109">
        <f>C152+C153+C154+C155</f>
        <v>39539</v>
      </c>
      <c r="D156" s="109">
        <f>D152+D153+D154+D155</f>
        <v>17705</v>
      </c>
      <c r="E156" s="109">
        <f>E152+E153+E154+E155</f>
        <v>2330</v>
      </c>
      <c r="F156" s="109">
        <f>F152+F153+F154+F155</f>
        <v>10965</v>
      </c>
      <c r="G156" s="109">
        <f>C156+D156+E156+F156</f>
        <v>70539</v>
      </c>
      <c r="H156" s="109">
        <v>10</v>
      </c>
      <c r="I156" s="109">
        <f>(C156+D156+E156+F156)/H156</f>
        <v>7053.9</v>
      </c>
      <c r="J156" s="112"/>
    </row>
    <row r="157" customHeight="1" spans="1:10">
      <c r="A157" s="110" t="s">
        <v>29</v>
      </c>
      <c r="B157" s="113" t="s">
        <v>30</v>
      </c>
      <c r="C157" s="113"/>
      <c r="D157" s="113"/>
      <c r="E157" s="113"/>
      <c r="F157" s="113"/>
      <c r="G157" s="113"/>
      <c r="H157" s="113"/>
      <c r="I157" s="113"/>
      <c r="J157" s="113"/>
    </row>
    <row r="158" customHeight="1" spans="1:10">
      <c r="A158" s="114"/>
      <c r="B158" s="113" t="s">
        <v>31</v>
      </c>
      <c r="C158" s="113"/>
      <c r="D158" s="113"/>
      <c r="E158" s="113"/>
      <c r="F158" s="113"/>
      <c r="G158" s="113"/>
      <c r="H158" s="113"/>
      <c r="I158" s="113"/>
      <c r="J158" s="113"/>
    </row>
    <row r="159" customHeight="1" spans="1:10">
      <c r="A159" s="114"/>
      <c r="B159" s="113" t="s">
        <v>32</v>
      </c>
      <c r="C159" s="113"/>
      <c r="D159" s="113"/>
      <c r="E159" s="113"/>
      <c r="F159" s="113"/>
      <c r="G159" s="113"/>
      <c r="H159" s="113"/>
      <c r="I159" s="113"/>
      <c r="J159" s="113"/>
    </row>
    <row r="160" customHeight="1" spans="1:10">
      <c r="A160" s="115"/>
      <c r="B160" s="113" t="s">
        <v>31</v>
      </c>
      <c r="C160" s="113"/>
      <c r="D160" s="113"/>
      <c r="E160" s="113"/>
      <c r="F160" s="113"/>
      <c r="G160" s="113"/>
      <c r="H160" s="113"/>
      <c r="I160" s="113"/>
      <c r="J160" s="113"/>
    </row>
    <row r="161" customHeight="1" spans="1:10">
      <c r="A161" s="116" t="s">
        <v>33</v>
      </c>
      <c r="B161" s="117"/>
      <c r="C161" s="117"/>
      <c r="D161" s="117"/>
      <c r="E161" s="117"/>
      <c r="F161" s="117"/>
      <c r="G161" s="117"/>
      <c r="H161" s="117"/>
      <c r="I161" s="117"/>
      <c r="J161" s="118"/>
    </row>
    <row r="162" customHeight="1" spans="1:10">
      <c r="A162" s="119" t="s">
        <v>34</v>
      </c>
      <c r="B162" s="119"/>
      <c r="C162" s="119"/>
      <c r="D162" s="119"/>
      <c r="E162" s="119"/>
      <c r="F162" s="119"/>
      <c r="G162" s="119"/>
      <c r="H162" s="119"/>
      <c r="I162" s="119"/>
      <c r="J162" s="119"/>
    </row>
    <row r="163" customHeight="1" spans="1:10">
      <c r="A163" s="86" t="s">
        <v>110</v>
      </c>
      <c r="B163" s="86"/>
      <c r="C163" s="86"/>
      <c r="D163" s="86"/>
      <c r="E163" s="86"/>
      <c r="F163" s="86"/>
      <c r="G163" s="86"/>
      <c r="H163" s="86"/>
      <c r="I163" s="86"/>
      <c r="J163" s="86"/>
    </row>
    <row r="164" customHeight="1" spans="1:10">
      <c r="A164" s="87" t="s">
        <v>1</v>
      </c>
      <c r="B164" s="87"/>
      <c r="C164" s="88" t="s">
        <v>2</v>
      </c>
      <c r="D164" s="89"/>
      <c r="E164" s="89"/>
      <c r="F164" s="89"/>
      <c r="G164" s="90"/>
      <c r="H164" s="88" t="s">
        <v>3</v>
      </c>
      <c r="I164" s="89"/>
      <c r="J164" s="91" t="s">
        <v>4</v>
      </c>
    </row>
    <row r="165" customHeight="1" spans="1:10">
      <c r="A165" s="87" t="s">
        <v>5</v>
      </c>
      <c r="B165" s="92" t="s">
        <v>6</v>
      </c>
      <c r="C165" s="93"/>
      <c r="D165" s="94"/>
      <c r="E165" s="94"/>
      <c r="F165" s="94"/>
      <c r="G165" s="95"/>
      <c r="H165" s="92"/>
      <c r="I165" s="96"/>
      <c r="J165" s="97"/>
    </row>
    <row r="166" customHeight="1" spans="1:10">
      <c r="A166" s="87"/>
      <c r="B166" s="98" t="s">
        <v>7</v>
      </c>
      <c r="C166" s="99" t="s">
        <v>8</v>
      </c>
      <c r="D166" s="100" t="s">
        <v>9</v>
      </c>
      <c r="E166" s="99" t="s">
        <v>10</v>
      </c>
      <c r="F166" s="87" t="s">
        <v>11</v>
      </c>
      <c r="G166" s="91" t="s">
        <v>12</v>
      </c>
      <c r="H166" s="88" t="s">
        <v>13</v>
      </c>
      <c r="I166" s="90"/>
      <c r="J166" s="97"/>
    </row>
    <row r="167" customHeight="1" spans="1:10">
      <c r="A167" s="87"/>
      <c r="B167" s="101"/>
      <c r="C167" s="87" t="s">
        <v>14</v>
      </c>
      <c r="D167" s="87" t="s">
        <v>14</v>
      </c>
      <c r="E167" s="87" t="s">
        <v>14</v>
      </c>
      <c r="F167" s="87"/>
      <c r="G167" s="102"/>
      <c r="H167" s="87" t="s">
        <v>15</v>
      </c>
      <c r="I167" s="87" t="s">
        <v>16</v>
      </c>
      <c r="J167" s="102"/>
    </row>
    <row r="168" customHeight="1" spans="1:10">
      <c r="A168" s="107" t="s">
        <v>111</v>
      </c>
      <c r="B168" s="107" t="s">
        <v>56</v>
      </c>
      <c r="C168" s="108"/>
      <c r="D168" s="108"/>
      <c r="E168" s="108"/>
      <c r="F168" s="108">
        <v>8979</v>
      </c>
      <c r="G168" s="109">
        <f t="shared" ref="G168:G172" si="8">C168+D168+E168+F168</f>
        <v>8979</v>
      </c>
      <c r="H168" s="108">
        <v>2</v>
      </c>
      <c r="I168" s="109">
        <f t="shared" ref="I168:I172" si="9">(C168+D168+E168+F168)/H168</f>
        <v>4489.5</v>
      </c>
      <c r="J168" s="110"/>
    </row>
    <row r="169" customHeight="1" spans="1:10">
      <c r="A169" s="107" t="s">
        <v>112</v>
      </c>
      <c r="B169" s="107" t="s">
        <v>42</v>
      </c>
      <c r="C169" s="108">
        <v>14999.5</v>
      </c>
      <c r="D169" s="108"/>
      <c r="E169" s="108"/>
      <c r="F169" s="108"/>
      <c r="G169" s="109">
        <f t="shared" si="8"/>
        <v>14999.5</v>
      </c>
      <c r="H169" s="108">
        <v>1</v>
      </c>
      <c r="I169" s="109">
        <f t="shared" si="9"/>
        <v>14999.5</v>
      </c>
      <c r="J169" s="110"/>
    </row>
    <row r="170" customHeight="1" spans="1:10">
      <c r="A170" s="107" t="s">
        <v>113</v>
      </c>
      <c r="B170" s="107" t="s">
        <v>42</v>
      </c>
      <c r="C170" s="108"/>
      <c r="D170" s="108"/>
      <c r="E170" s="108"/>
      <c r="F170" s="84">
        <v>6999</v>
      </c>
      <c r="G170" s="109">
        <f t="shared" si="8"/>
        <v>6999</v>
      </c>
      <c r="H170" s="108">
        <v>1</v>
      </c>
      <c r="I170" s="109">
        <f t="shared" si="9"/>
        <v>6999</v>
      </c>
      <c r="J170" s="108"/>
    </row>
    <row r="171" customHeight="1" spans="1:10">
      <c r="A171" s="107" t="s">
        <v>114</v>
      </c>
      <c r="B171" s="111" t="s">
        <v>48</v>
      </c>
      <c r="C171" s="108">
        <v>6999.5</v>
      </c>
      <c r="D171" s="108"/>
      <c r="E171" s="108">
        <v>1010</v>
      </c>
      <c r="F171" s="108">
        <v>6999</v>
      </c>
      <c r="G171" s="109">
        <f t="shared" si="8"/>
        <v>15008.5</v>
      </c>
      <c r="H171" s="108">
        <v>3</v>
      </c>
      <c r="I171" s="109">
        <f t="shared" si="9"/>
        <v>5002.83333333333</v>
      </c>
      <c r="J171" s="108"/>
    </row>
    <row r="172" customHeight="1" spans="1:10">
      <c r="A172" s="108" t="s">
        <v>27</v>
      </c>
      <c r="B172" s="107" t="s">
        <v>115</v>
      </c>
      <c r="C172" s="109">
        <f t="shared" ref="C172:F172" si="10">C168+C169+C170+C171</f>
        <v>21999</v>
      </c>
      <c r="D172" s="109">
        <f t="shared" si="10"/>
        <v>0</v>
      </c>
      <c r="E172" s="109">
        <f t="shared" si="10"/>
        <v>1010</v>
      </c>
      <c r="F172" s="109">
        <f t="shared" si="10"/>
        <v>22977</v>
      </c>
      <c r="G172" s="109">
        <f t="shared" si="8"/>
        <v>45986</v>
      </c>
      <c r="H172" s="109">
        <v>10</v>
      </c>
      <c r="I172" s="109">
        <f t="shared" si="9"/>
        <v>4598.6</v>
      </c>
      <c r="J172" s="112"/>
    </row>
    <row r="173" customHeight="1" spans="1:10">
      <c r="A173" s="110" t="s">
        <v>29</v>
      </c>
      <c r="B173" s="113" t="s">
        <v>30</v>
      </c>
      <c r="C173" s="113"/>
      <c r="D173" s="113"/>
      <c r="E173" s="113"/>
      <c r="F173" s="113"/>
      <c r="G173" s="113"/>
      <c r="H173" s="113"/>
      <c r="I173" s="113"/>
      <c r="J173" s="113"/>
    </row>
    <row r="174" customHeight="1" spans="1:10">
      <c r="A174" s="114"/>
      <c r="B174" s="113" t="s">
        <v>31</v>
      </c>
      <c r="C174" s="113"/>
      <c r="D174" s="113"/>
      <c r="E174" s="113"/>
      <c r="F174" s="113"/>
      <c r="G174" s="113"/>
      <c r="H174" s="113"/>
      <c r="I174" s="113"/>
      <c r="J174" s="113"/>
    </row>
    <row r="175" customHeight="1" spans="1:10">
      <c r="A175" s="114"/>
      <c r="B175" s="113" t="s">
        <v>32</v>
      </c>
      <c r="C175" s="113"/>
      <c r="D175" s="113"/>
      <c r="E175" s="113"/>
      <c r="F175" s="113"/>
      <c r="G175" s="113"/>
      <c r="H175" s="113"/>
      <c r="I175" s="113"/>
      <c r="J175" s="113"/>
    </row>
    <row r="176" customHeight="1" spans="1:10">
      <c r="A176" s="115"/>
      <c r="B176" s="113" t="s">
        <v>31</v>
      </c>
      <c r="C176" s="113"/>
      <c r="D176" s="113"/>
      <c r="E176" s="113"/>
      <c r="F176" s="113"/>
      <c r="G176" s="113"/>
      <c r="H176" s="113"/>
      <c r="I176" s="113"/>
      <c r="J176" s="113"/>
    </row>
    <row r="177" customHeight="1" spans="1:10">
      <c r="A177" s="116" t="s">
        <v>33</v>
      </c>
      <c r="B177" s="117"/>
      <c r="C177" s="117"/>
      <c r="D177" s="117"/>
      <c r="E177" s="117"/>
      <c r="F177" s="117"/>
      <c r="G177" s="117"/>
      <c r="H177" s="117"/>
      <c r="I177" s="117"/>
      <c r="J177" s="118"/>
    </row>
    <row r="178" customHeight="1" spans="1:10">
      <c r="A178" s="119" t="s">
        <v>34</v>
      </c>
      <c r="B178" s="119"/>
      <c r="C178" s="119"/>
      <c r="D178" s="119"/>
      <c r="E178" s="119"/>
      <c r="F178" s="119"/>
      <c r="G178" s="119"/>
      <c r="H178" s="119"/>
      <c r="I178" s="119"/>
      <c r="J178" s="119"/>
    </row>
    <row r="179" customHeight="1" spans="1:10">
      <c r="A179" s="86" t="s">
        <v>116</v>
      </c>
      <c r="B179" s="86"/>
      <c r="C179" s="86"/>
      <c r="D179" s="86"/>
      <c r="E179" s="86"/>
      <c r="F179" s="86"/>
      <c r="G179" s="86"/>
      <c r="H179" s="86"/>
      <c r="I179" s="86"/>
      <c r="J179" s="86"/>
    </row>
    <row r="180" customHeight="1" spans="1:10">
      <c r="A180" s="87" t="s">
        <v>1</v>
      </c>
      <c r="B180" s="87"/>
      <c r="C180" s="88" t="s">
        <v>2</v>
      </c>
      <c r="D180" s="89"/>
      <c r="E180" s="89"/>
      <c r="F180" s="89"/>
      <c r="G180" s="90"/>
      <c r="H180" s="88" t="s">
        <v>3</v>
      </c>
      <c r="I180" s="89"/>
      <c r="J180" s="91" t="s">
        <v>4</v>
      </c>
    </row>
    <row r="181" customHeight="1" spans="1:10">
      <c r="A181" s="87" t="s">
        <v>5</v>
      </c>
      <c r="B181" s="92" t="s">
        <v>6</v>
      </c>
      <c r="C181" s="93"/>
      <c r="D181" s="94"/>
      <c r="E181" s="94"/>
      <c r="F181" s="94"/>
      <c r="G181" s="95"/>
      <c r="H181" s="92"/>
      <c r="I181" s="96"/>
      <c r="J181" s="97"/>
    </row>
    <row r="182" customHeight="1" spans="1:10">
      <c r="A182" s="87"/>
      <c r="B182" s="98" t="s">
        <v>7</v>
      </c>
      <c r="C182" s="99" t="s">
        <v>8</v>
      </c>
      <c r="D182" s="100" t="s">
        <v>9</v>
      </c>
      <c r="E182" s="99" t="s">
        <v>10</v>
      </c>
      <c r="F182" s="87" t="s">
        <v>11</v>
      </c>
      <c r="G182" s="91" t="s">
        <v>12</v>
      </c>
      <c r="H182" s="88" t="s">
        <v>13</v>
      </c>
      <c r="I182" s="90"/>
      <c r="J182" s="97"/>
    </row>
    <row r="183" customHeight="1" spans="1:10">
      <c r="A183" s="87"/>
      <c r="B183" s="101"/>
      <c r="C183" s="87" t="s">
        <v>14</v>
      </c>
      <c r="D183" s="87" t="s">
        <v>14</v>
      </c>
      <c r="E183" s="87" t="s">
        <v>14</v>
      </c>
      <c r="F183" s="87"/>
      <c r="G183" s="102"/>
      <c r="H183" s="87" t="s">
        <v>15</v>
      </c>
      <c r="I183" s="87" t="s">
        <v>16</v>
      </c>
      <c r="J183" s="102"/>
    </row>
    <row r="184" customHeight="1" spans="1:10">
      <c r="A184" s="107" t="s">
        <v>117</v>
      </c>
      <c r="B184" s="107" t="s">
        <v>26</v>
      </c>
      <c r="C184" s="108"/>
      <c r="D184" s="108"/>
      <c r="E184" s="108"/>
      <c r="F184" s="108"/>
      <c r="G184" s="109">
        <f t="shared" ref="G184:G189" si="11">C184+D184+E184+F184</f>
        <v>0</v>
      </c>
      <c r="H184" s="108"/>
      <c r="I184" s="109" t="e">
        <f t="shared" ref="I184:I189" si="12">(C184+D184+E184+F184)/H184</f>
        <v>#DIV/0!</v>
      </c>
      <c r="J184" s="110"/>
    </row>
    <row r="185" customHeight="1" spans="1:10">
      <c r="A185" s="107" t="s">
        <v>118</v>
      </c>
      <c r="B185" s="107" t="s">
        <v>42</v>
      </c>
      <c r="C185" s="108">
        <v>5998</v>
      </c>
      <c r="D185" s="108"/>
      <c r="E185" s="108"/>
      <c r="F185" s="108"/>
      <c r="G185" s="109">
        <f t="shared" si="11"/>
        <v>5998</v>
      </c>
      <c r="H185" s="108">
        <v>1</v>
      </c>
      <c r="I185" s="109">
        <f t="shared" si="12"/>
        <v>5998</v>
      </c>
      <c r="J185" s="110"/>
    </row>
    <row r="186" customHeight="1" spans="1:10">
      <c r="A186" s="107" t="s">
        <v>119</v>
      </c>
      <c r="B186" s="107" t="s">
        <v>120</v>
      </c>
      <c r="C186" s="108">
        <v>13999</v>
      </c>
      <c r="D186" s="108"/>
      <c r="E186" s="108"/>
      <c r="F186" s="84">
        <v>6999</v>
      </c>
      <c r="G186" s="109">
        <f t="shared" si="11"/>
        <v>20998</v>
      </c>
      <c r="H186" s="108">
        <v>2</v>
      </c>
      <c r="I186" s="109">
        <f t="shared" si="12"/>
        <v>10499</v>
      </c>
      <c r="J186" s="108"/>
    </row>
    <row r="187" customHeight="1" spans="1:10">
      <c r="A187" s="107" t="s">
        <v>121</v>
      </c>
      <c r="B187" s="111" t="s">
        <v>92</v>
      </c>
      <c r="C187" s="108"/>
      <c r="D187" s="108">
        <v>12218</v>
      </c>
      <c r="E187" s="108"/>
      <c r="F187" s="108">
        <v>6999</v>
      </c>
      <c r="G187" s="109">
        <f t="shared" si="11"/>
        <v>19217</v>
      </c>
      <c r="H187" s="108">
        <v>5</v>
      </c>
      <c r="I187" s="109">
        <f t="shared" si="12"/>
        <v>3843.4</v>
      </c>
      <c r="J187" s="108"/>
    </row>
    <row r="188" customHeight="1" spans="1:10">
      <c r="A188" s="107" t="s">
        <v>122</v>
      </c>
      <c r="B188" s="111" t="s">
        <v>42</v>
      </c>
      <c r="C188" s="108">
        <v>10999</v>
      </c>
      <c r="D188" s="108"/>
      <c r="E188" s="108"/>
      <c r="F188" s="108"/>
      <c r="G188" s="109">
        <f t="shared" si="11"/>
        <v>10999</v>
      </c>
      <c r="H188" s="108">
        <v>1</v>
      </c>
      <c r="I188" s="109">
        <f t="shared" si="12"/>
        <v>10999</v>
      </c>
      <c r="J188" s="110"/>
    </row>
    <row r="189" customHeight="1" spans="1:10">
      <c r="A189" s="108" t="s">
        <v>27</v>
      </c>
      <c r="B189" s="107" t="s">
        <v>123</v>
      </c>
      <c r="C189" s="109">
        <f t="shared" ref="C189:F189" si="13">C184+C185+C186+C187</f>
        <v>19997</v>
      </c>
      <c r="D189" s="109">
        <f t="shared" si="13"/>
        <v>12218</v>
      </c>
      <c r="E189" s="109">
        <f t="shared" si="13"/>
        <v>0</v>
      </c>
      <c r="F189" s="109">
        <f t="shared" si="13"/>
        <v>13998</v>
      </c>
      <c r="G189" s="109">
        <f t="shared" si="11"/>
        <v>46213</v>
      </c>
      <c r="H189" s="109">
        <v>9</v>
      </c>
      <c r="I189" s="109">
        <f t="shared" si="12"/>
        <v>5134.77777777778</v>
      </c>
      <c r="J189" s="112"/>
    </row>
    <row r="190" customHeight="1" spans="1:10">
      <c r="A190" s="110" t="s">
        <v>29</v>
      </c>
      <c r="B190" s="113" t="s">
        <v>30</v>
      </c>
      <c r="C190" s="113"/>
      <c r="D190" s="113"/>
      <c r="E190" s="113"/>
      <c r="F190" s="113"/>
      <c r="G190" s="113"/>
      <c r="H190" s="113"/>
      <c r="I190" s="113"/>
      <c r="J190" s="113"/>
    </row>
    <row r="191" customHeight="1" spans="1:10">
      <c r="A191" s="114"/>
      <c r="B191" s="113" t="s">
        <v>31</v>
      </c>
      <c r="C191" s="113"/>
      <c r="D191" s="113"/>
      <c r="E191" s="113"/>
      <c r="F191" s="113"/>
      <c r="G191" s="113"/>
      <c r="H191" s="113"/>
      <c r="I191" s="113"/>
      <c r="J191" s="113"/>
    </row>
    <row r="192" customHeight="1" spans="1:10">
      <c r="A192" s="114"/>
      <c r="B192" s="113" t="s">
        <v>32</v>
      </c>
      <c r="C192" s="113"/>
      <c r="D192" s="113"/>
      <c r="E192" s="113"/>
      <c r="F192" s="113"/>
      <c r="G192" s="113"/>
      <c r="H192" s="113"/>
      <c r="I192" s="113"/>
      <c r="J192" s="113"/>
    </row>
    <row r="193" customHeight="1" spans="1:10">
      <c r="A193" s="115"/>
      <c r="B193" s="113" t="s">
        <v>31</v>
      </c>
      <c r="C193" s="113"/>
      <c r="D193" s="113"/>
      <c r="E193" s="113"/>
      <c r="F193" s="113"/>
      <c r="G193" s="113"/>
      <c r="H193" s="113"/>
      <c r="I193" s="113"/>
      <c r="J193" s="113"/>
    </row>
    <row r="194" customHeight="1" spans="1:10">
      <c r="A194" s="116" t="s">
        <v>33</v>
      </c>
      <c r="B194" s="117"/>
      <c r="C194" s="117"/>
      <c r="D194" s="117"/>
      <c r="E194" s="117"/>
      <c r="F194" s="117"/>
      <c r="G194" s="117"/>
      <c r="H194" s="117"/>
      <c r="I194" s="117"/>
      <c r="J194" s="118"/>
    </row>
    <row r="195" customHeight="1" spans="1:10">
      <c r="A195" s="119" t="s">
        <v>34</v>
      </c>
      <c r="B195" s="119"/>
      <c r="C195" s="119"/>
      <c r="D195" s="119"/>
      <c r="E195" s="119"/>
      <c r="F195" s="119"/>
      <c r="G195" s="119"/>
      <c r="H195" s="119"/>
      <c r="I195" s="119"/>
      <c r="J195" s="119"/>
    </row>
    <row r="196" customHeight="1" spans="1:10">
      <c r="A196" s="86" t="s">
        <v>124</v>
      </c>
      <c r="B196" s="86"/>
      <c r="C196" s="86"/>
      <c r="D196" s="86"/>
      <c r="E196" s="86"/>
      <c r="F196" s="86"/>
      <c r="G196" s="86"/>
      <c r="H196" s="86"/>
      <c r="I196" s="86"/>
      <c r="J196" s="86"/>
    </row>
    <row r="197" customHeight="1" spans="1:10">
      <c r="A197" s="87" t="s">
        <v>1</v>
      </c>
      <c r="B197" s="87"/>
      <c r="C197" s="88" t="s">
        <v>2</v>
      </c>
      <c r="D197" s="89"/>
      <c r="E197" s="89"/>
      <c r="F197" s="89"/>
      <c r="G197" s="90"/>
      <c r="H197" s="88" t="s">
        <v>3</v>
      </c>
      <c r="I197" s="89"/>
      <c r="J197" s="91" t="s">
        <v>4</v>
      </c>
    </row>
    <row r="198" customHeight="1" spans="1:10">
      <c r="A198" s="87" t="s">
        <v>5</v>
      </c>
      <c r="B198" s="92" t="s">
        <v>6</v>
      </c>
      <c r="C198" s="93"/>
      <c r="D198" s="94"/>
      <c r="E198" s="94"/>
      <c r="F198" s="94"/>
      <c r="G198" s="95"/>
      <c r="H198" s="92"/>
      <c r="I198" s="96"/>
      <c r="J198" s="97"/>
    </row>
    <row r="199" customHeight="1" spans="1:10">
      <c r="A199" s="87"/>
      <c r="B199" s="98" t="s">
        <v>7</v>
      </c>
      <c r="C199" s="99" t="s">
        <v>8</v>
      </c>
      <c r="D199" s="100" t="s">
        <v>9</v>
      </c>
      <c r="E199" s="99" t="s">
        <v>10</v>
      </c>
      <c r="F199" s="87" t="s">
        <v>11</v>
      </c>
      <c r="G199" s="91" t="s">
        <v>12</v>
      </c>
      <c r="H199" s="88" t="s">
        <v>13</v>
      </c>
      <c r="I199" s="90"/>
      <c r="J199" s="97"/>
    </row>
    <row r="200" customHeight="1" spans="1:10">
      <c r="A200" s="87"/>
      <c r="B200" s="101"/>
      <c r="C200" s="87" t="s">
        <v>14</v>
      </c>
      <c r="D200" s="87" t="s">
        <v>14</v>
      </c>
      <c r="E200" s="87" t="s">
        <v>14</v>
      </c>
      <c r="F200" s="87"/>
      <c r="G200" s="102"/>
      <c r="H200" s="87" t="s">
        <v>15</v>
      </c>
      <c r="I200" s="87" t="s">
        <v>16</v>
      </c>
      <c r="J200" s="102"/>
    </row>
    <row r="201" customHeight="1" spans="1:10">
      <c r="A201" s="107" t="s">
        <v>125</v>
      </c>
      <c r="B201" s="107" t="s">
        <v>126</v>
      </c>
      <c r="C201" s="108">
        <v>46737</v>
      </c>
      <c r="D201" s="108">
        <v>4666</v>
      </c>
      <c r="E201" s="108">
        <v>1790</v>
      </c>
      <c r="F201" s="108"/>
      <c r="G201" s="109">
        <f>C201+D201+E201+F201</f>
        <v>53193</v>
      </c>
      <c r="H201" s="108">
        <v>5</v>
      </c>
      <c r="I201" s="109">
        <f>(C201+D201+E201+F201)/H201</f>
        <v>10638.6</v>
      </c>
      <c r="J201" s="110"/>
    </row>
    <row r="202" customHeight="1" spans="1:10">
      <c r="A202" s="107" t="s">
        <v>127</v>
      </c>
      <c r="B202" s="107" t="s">
        <v>79</v>
      </c>
      <c r="C202" s="108">
        <v>9780</v>
      </c>
      <c r="D202" s="108"/>
      <c r="E202" s="108"/>
      <c r="F202" s="108"/>
      <c r="G202" s="109">
        <f>C202+D202+E202+F202</f>
        <v>9780</v>
      </c>
      <c r="H202" s="108">
        <v>3</v>
      </c>
      <c r="I202" s="109">
        <f>(C202+D202+E202+F202)/H202</f>
        <v>3260</v>
      </c>
      <c r="J202" s="110"/>
    </row>
    <row r="203" customHeight="1" spans="1:10">
      <c r="A203" s="107" t="s">
        <v>128</v>
      </c>
      <c r="B203" s="107" t="s">
        <v>46</v>
      </c>
      <c r="C203" s="108">
        <v>12270</v>
      </c>
      <c r="D203" s="108">
        <v>8461</v>
      </c>
      <c r="E203" s="108"/>
      <c r="F203" s="84"/>
      <c r="G203" s="109">
        <f>C203+D203+E203+F203</f>
        <v>20731</v>
      </c>
      <c r="H203" s="108">
        <v>2</v>
      </c>
      <c r="I203" s="109">
        <f>(C203+D203+E203+F203)/H203</f>
        <v>10365.5</v>
      </c>
      <c r="J203" s="108"/>
    </row>
    <row r="204" customHeight="1" spans="1:10">
      <c r="A204" s="107" t="s">
        <v>129</v>
      </c>
      <c r="B204" s="111"/>
      <c r="C204" s="108"/>
      <c r="D204" s="108"/>
      <c r="E204" s="108"/>
      <c r="F204" s="108"/>
      <c r="G204" s="109">
        <f>C204+D204+E204+F204</f>
        <v>0</v>
      </c>
      <c r="H204" s="108"/>
      <c r="I204" s="109" t="e">
        <f>(C204+D204+E204+F204)/H204</f>
        <v>#DIV/0!</v>
      </c>
      <c r="J204" s="108"/>
    </row>
    <row r="205" customHeight="1" spans="1:10">
      <c r="A205" s="108" t="s">
        <v>27</v>
      </c>
      <c r="B205" s="107" t="s">
        <v>130</v>
      </c>
      <c r="C205" s="109">
        <f t="shared" ref="C205:F205" si="14">C201+C202+C203+C204</f>
        <v>68787</v>
      </c>
      <c r="D205" s="109">
        <f t="shared" si="14"/>
        <v>13127</v>
      </c>
      <c r="E205" s="109">
        <f t="shared" si="14"/>
        <v>1790</v>
      </c>
      <c r="F205" s="109">
        <f t="shared" si="14"/>
        <v>0</v>
      </c>
      <c r="G205" s="109">
        <f>C205+D205+E205+F205</f>
        <v>83704</v>
      </c>
      <c r="H205" s="109">
        <v>10</v>
      </c>
      <c r="I205" s="109">
        <f>(C205+D205+E205+F205)/H205</f>
        <v>8370.4</v>
      </c>
      <c r="J205" s="112"/>
    </row>
    <row r="206" customHeight="1" spans="1:10">
      <c r="A206" s="110" t="s">
        <v>29</v>
      </c>
      <c r="B206" s="113" t="s">
        <v>30</v>
      </c>
      <c r="C206" s="113"/>
      <c r="D206" s="113"/>
      <c r="E206" s="113"/>
      <c r="F206" s="113"/>
      <c r="G206" s="113"/>
      <c r="H206" s="113"/>
      <c r="I206" s="113"/>
      <c r="J206" s="113"/>
    </row>
    <row r="207" customHeight="1" spans="1:10">
      <c r="A207" s="114"/>
      <c r="B207" s="113" t="s">
        <v>31</v>
      </c>
      <c r="C207" s="113"/>
      <c r="D207" s="113"/>
      <c r="E207" s="113"/>
      <c r="F207" s="113"/>
      <c r="G207" s="113"/>
      <c r="H207" s="113"/>
      <c r="I207" s="113"/>
      <c r="J207" s="113"/>
    </row>
    <row r="208" customHeight="1" spans="1:10">
      <c r="A208" s="114"/>
      <c r="B208" s="113" t="s">
        <v>32</v>
      </c>
      <c r="C208" s="113"/>
      <c r="D208" s="113"/>
      <c r="E208" s="113"/>
      <c r="F208" s="113"/>
      <c r="G208" s="113"/>
      <c r="H208" s="113"/>
      <c r="I208" s="113"/>
      <c r="J208" s="113"/>
    </row>
    <row r="209" customHeight="1" spans="1:10">
      <c r="A209" s="115"/>
      <c r="B209" s="113" t="s">
        <v>31</v>
      </c>
      <c r="C209" s="113"/>
      <c r="D209" s="113"/>
      <c r="E209" s="113"/>
      <c r="F209" s="113"/>
      <c r="G209" s="113"/>
      <c r="H209" s="113"/>
      <c r="I209" s="113"/>
      <c r="J209" s="113"/>
    </row>
    <row r="210" customHeight="1" spans="1:10">
      <c r="A210" s="116" t="s">
        <v>33</v>
      </c>
      <c r="B210" s="117"/>
      <c r="C210" s="117"/>
      <c r="D210" s="117"/>
      <c r="E210" s="117"/>
      <c r="F210" s="117"/>
      <c r="G210" s="117"/>
      <c r="H210" s="117"/>
      <c r="I210" s="117"/>
      <c r="J210" s="118"/>
    </row>
    <row r="211" customHeight="1" spans="1:10">
      <c r="A211" s="119" t="s">
        <v>34</v>
      </c>
      <c r="B211" s="119"/>
      <c r="C211" s="119"/>
      <c r="D211" s="119"/>
      <c r="E211" s="119"/>
      <c r="F211" s="119"/>
      <c r="G211" s="119"/>
      <c r="H211" s="119"/>
      <c r="I211" s="119"/>
      <c r="J211" s="119"/>
    </row>
  </sheetData>
  <mergeCells count="221">
    <mergeCell ref="A1:J1"/>
    <mergeCell ref="C2:G2"/>
    <mergeCell ref="C3:G3"/>
    <mergeCell ref="H4:I4"/>
    <mergeCell ref="B11:J11"/>
    <mergeCell ref="B12:J12"/>
    <mergeCell ref="B13:J13"/>
    <mergeCell ref="B14:J14"/>
    <mergeCell ref="A15:J15"/>
    <mergeCell ref="A16:J16"/>
    <mergeCell ref="A17:J17"/>
    <mergeCell ref="C18:G18"/>
    <mergeCell ref="C19:G19"/>
    <mergeCell ref="H20:I20"/>
    <mergeCell ref="B27:J27"/>
    <mergeCell ref="B28:J28"/>
    <mergeCell ref="B29:J29"/>
    <mergeCell ref="B30:J30"/>
    <mergeCell ref="A31:J31"/>
    <mergeCell ref="A32:J32"/>
    <mergeCell ref="A33:J33"/>
    <mergeCell ref="C34:G34"/>
    <mergeCell ref="C35:G35"/>
    <mergeCell ref="H36:I36"/>
    <mergeCell ref="B43:J43"/>
    <mergeCell ref="B44:J44"/>
    <mergeCell ref="B45:J45"/>
    <mergeCell ref="B46:J46"/>
    <mergeCell ref="A47:J47"/>
    <mergeCell ref="A48:J48"/>
    <mergeCell ref="A49:J49"/>
    <mergeCell ref="C50:G50"/>
    <mergeCell ref="C51:G51"/>
    <mergeCell ref="H52:I52"/>
    <mergeCell ref="B60:J60"/>
    <mergeCell ref="B61:J61"/>
    <mergeCell ref="B62:J62"/>
    <mergeCell ref="B63:J63"/>
    <mergeCell ref="A64:J64"/>
    <mergeCell ref="A65:J65"/>
    <mergeCell ref="A66:J66"/>
    <mergeCell ref="C67:G67"/>
    <mergeCell ref="C68:G68"/>
    <mergeCell ref="H69:I69"/>
    <mergeCell ref="B76:J76"/>
    <mergeCell ref="B77:J77"/>
    <mergeCell ref="B78:J78"/>
    <mergeCell ref="B79:J79"/>
    <mergeCell ref="A80:J80"/>
    <mergeCell ref="A81:J81"/>
    <mergeCell ref="A82:J82"/>
    <mergeCell ref="C83:G83"/>
    <mergeCell ref="C84:G84"/>
    <mergeCell ref="H85:I85"/>
    <mergeCell ref="B93:J93"/>
    <mergeCell ref="B94:J94"/>
    <mergeCell ref="B95:J95"/>
    <mergeCell ref="B96:J96"/>
    <mergeCell ref="A97:J97"/>
    <mergeCell ref="A98:J98"/>
    <mergeCell ref="A99:J99"/>
    <mergeCell ref="C100:G100"/>
    <mergeCell ref="C101:G101"/>
    <mergeCell ref="H102:I102"/>
    <mergeCell ref="B109:J109"/>
    <mergeCell ref="B110:J110"/>
    <mergeCell ref="B111:J111"/>
    <mergeCell ref="B112:J112"/>
    <mergeCell ref="A113:J113"/>
    <mergeCell ref="A114:J114"/>
    <mergeCell ref="A115:J115"/>
    <mergeCell ref="C116:G116"/>
    <mergeCell ref="C117:G117"/>
    <mergeCell ref="H118:I118"/>
    <mergeCell ref="B125:J125"/>
    <mergeCell ref="B126:J126"/>
    <mergeCell ref="B127:J127"/>
    <mergeCell ref="B128:J128"/>
    <mergeCell ref="A129:J129"/>
    <mergeCell ref="A130:J130"/>
    <mergeCell ref="A131:J131"/>
    <mergeCell ref="C132:G132"/>
    <mergeCell ref="C133:G133"/>
    <mergeCell ref="H134:I134"/>
    <mergeCell ref="B141:J141"/>
    <mergeCell ref="B142:J142"/>
    <mergeCell ref="B143:J143"/>
    <mergeCell ref="B144:J144"/>
    <mergeCell ref="A145:J145"/>
    <mergeCell ref="A146:J146"/>
    <mergeCell ref="A147:J147"/>
    <mergeCell ref="C148:G148"/>
    <mergeCell ref="C149:G149"/>
    <mergeCell ref="H150:I150"/>
    <mergeCell ref="B157:J157"/>
    <mergeCell ref="B158:J158"/>
    <mergeCell ref="B159:J159"/>
    <mergeCell ref="B160:J160"/>
    <mergeCell ref="A161:J161"/>
    <mergeCell ref="A162:J162"/>
    <mergeCell ref="A163:J163"/>
    <mergeCell ref="C164:G164"/>
    <mergeCell ref="C165:G165"/>
    <mergeCell ref="H166:I166"/>
    <mergeCell ref="B173:J173"/>
    <mergeCell ref="B174:J174"/>
    <mergeCell ref="B175:J175"/>
    <mergeCell ref="B176:J176"/>
    <mergeCell ref="A177:J177"/>
    <mergeCell ref="A178:J178"/>
    <mergeCell ref="A179:J179"/>
    <mergeCell ref="C180:G180"/>
    <mergeCell ref="C181:G181"/>
    <mergeCell ref="H182:I182"/>
    <mergeCell ref="B190:J190"/>
    <mergeCell ref="B191:J191"/>
    <mergeCell ref="B192:J192"/>
    <mergeCell ref="B193:J193"/>
    <mergeCell ref="A194:J194"/>
    <mergeCell ref="A195:J195"/>
    <mergeCell ref="A196:J196"/>
    <mergeCell ref="C197:G197"/>
    <mergeCell ref="C198:G198"/>
    <mergeCell ref="H199:I199"/>
    <mergeCell ref="B206:J206"/>
    <mergeCell ref="B207:J207"/>
    <mergeCell ref="B208:J208"/>
    <mergeCell ref="B209:J209"/>
    <mergeCell ref="A210:J210"/>
    <mergeCell ref="A211:J211"/>
    <mergeCell ref="A3:A5"/>
    <mergeCell ref="A11:A14"/>
    <mergeCell ref="A19:A21"/>
    <mergeCell ref="A27:A30"/>
    <mergeCell ref="A35:A37"/>
    <mergeCell ref="A43:A46"/>
    <mergeCell ref="A51:A53"/>
    <mergeCell ref="A60:A63"/>
    <mergeCell ref="A68:A70"/>
    <mergeCell ref="A76:A79"/>
    <mergeCell ref="A84:A86"/>
    <mergeCell ref="A93:A96"/>
    <mergeCell ref="A101:A103"/>
    <mergeCell ref="A109:A112"/>
    <mergeCell ref="A117:A119"/>
    <mergeCell ref="A125:A128"/>
    <mergeCell ref="A133:A135"/>
    <mergeCell ref="A141:A144"/>
    <mergeCell ref="A149:A151"/>
    <mergeCell ref="A157:A160"/>
    <mergeCell ref="A165:A167"/>
    <mergeCell ref="A173:A176"/>
    <mergeCell ref="A181:A183"/>
    <mergeCell ref="A190:A193"/>
    <mergeCell ref="A198:A200"/>
    <mergeCell ref="A206:A209"/>
    <mergeCell ref="B4:B5"/>
    <mergeCell ref="B20:B21"/>
    <mergeCell ref="B36:B37"/>
    <mergeCell ref="B52:B53"/>
    <mergeCell ref="B69:B70"/>
    <mergeCell ref="B85:B86"/>
    <mergeCell ref="B102:B103"/>
    <mergeCell ref="B118:B119"/>
    <mergeCell ref="B134:B135"/>
    <mergeCell ref="B150:B151"/>
    <mergeCell ref="B166:B167"/>
    <mergeCell ref="B182:B183"/>
    <mergeCell ref="B199:B200"/>
    <mergeCell ref="F4:F5"/>
    <mergeCell ref="F20:F21"/>
    <mergeCell ref="F36:F37"/>
    <mergeCell ref="F52:F53"/>
    <mergeCell ref="F69:F70"/>
    <mergeCell ref="F85:F86"/>
    <mergeCell ref="F102:F103"/>
    <mergeCell ref="F118:F119"/>
    <mergeCell ref="F134:F135"/>
    <mergeCell ref="F150:F151"/>
    <mergeCell ref="F166:F167"/>
    <mergeCell ref="F182:F183"/>
    <mergeCell ref="F199:F200"/>
    <mergeCell ref="G4:G5"/>
    <mergeCell ref="G20:G21"/>
    <mergeCell ref="G36:G37"/>
    <mergeCell ref="G52:G53"/>
    <mergeCell ref="G69:G70"/>
    <mergeCell ref="G85:G86"/>
    <mergeCell ref="G102:G103"/>
    <mergeCell ref="G118:G119"/>
    <mergeCell ref="G134:G135"/>
    <mergeCell ref="G150:G151"/>
    <mergeCell ref="G166:G167"/>
    <mergeCell ref="G182:G183"/>
    <mergeCell ref="G199:G200"/>
    <mergeCell ref="J2:J5"/>
    <mergeCell ref="J18:J21"/>
    <mergeCell ref="J34:J37"/>
    <mergeCell ref="J50:J53"/>
    <mergeCell ref="J67:J70"/>
    <mergeCell ref="J83:J86"/>
    <mergeCell ref="J100:J103"/>
    <mergeCell ref="J116:J119"/>
    <mergeCell ref="J132:J135"/>
    <mergeCell ref="J148:J151"/>
    <mergeCell ref="J164:J167"/>
    <mergeCell ref="J180:J183"/>
    <mergeCell ref="J197:J200"/>
    <mergeCell ref="H2:I3"/>
    <mergeCell ref="H18:I19"/>
    <mergeCell ref="H34:I35"/>
    <mergeCell ref="H50:I51"/>
    <mergeCell ref="H67:I68"/>
    <mergeCell ref="H83:I84"/>
    <mergeCell ref="H100:I101"/>
    <mergeCell ref="H116:I117"/>
    <mergeCell ref="H132:I133"/>
    <mergeCell ref="H148:I149"/>
    <mergeCell ref="H164:I165"/>
    <mergeCell ref="H180:I181"/>
    <mergeCell ref="H197:I198"/>
  </mergeCells>
  <pageMargins left="0.75" right="0.75" top="1" bottom="1" header="0.51" footer="0.51"/>
  <pageSetup paperSize="9" orientation="portrait" horizontalDpi="6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78"/>
  <sheetViews>
    <sheetView tabSelected="1" zoomScale="80" zoomScaleNormal="80" topLeftCell="A446" workbookViewId="0">
      <selection activeCell="N470" sqref="N470"/>
    </sheetView>
  </sheetViews>
  <sheetFormatPr defaultColWidth="8.96666666666667" defaultRowHeight="15.75"/>
  <cols>
    <col min="1" max="1" width="4.06666666666667" style="17" customWidth="1"/>
    <col min="2" max="2" width="11.0666666666667" style="17" customWidth="1"/>
    <col min="3" max="3" width="13.8333333333333" style="17" customWidth="1"/>
    <col min="4" max="4" width="16.0666666666667" style="17" customWidth="1"/>
    <col min="5" max="5" width="16.4" style="17" customWidth="1"/>
    <col min="6" max="6" width="15.9333333333333" style="17" customWidth="1"/>
    <col min="7" max="7" width="11.1333333333333" style="17" customWidth="1"/>
    <col min="8" max="8" width="5.56666666666667" style="17" customWidth="1"/>
    <col min="9" max="9" width="27.35" style="17" customWidth="1"/>
    <col min="10" max="10" width="16.9416666666667" style="17" customWidth="1"/>
    <col min="11" max="11" width="15.15" style="17" customWidth="1"/>
    <col min="12" max="12" width="11.0666666666667" style="17" customWidth="1"/>
    <col min="13" max="13" width="5.56666666666667" style="17" customWidth="1"/>
    <col min="14" max="14" width="29.0666666666667" style="17" customWidth="1"/>
    <col min="15" max="16" width="24.1416666666667" style="17" customWidth="1"/>
    <col min="17" max="17" width="25.9416666666667" style="17" customWidth="1"/>
    <col min="18" max="18" width="21.1" style="17" customWidth="1"/>
    <col min="19" max="21" width="30.5666666666667" style="17" customWidth="1"/>
    <col min="22" max="22" width="5.56666666666667" style="17" customWidth="1"/>
    <col min="23" max="23" width="44.475" style="17" customWidth="1"/>
    <col min="24" max="16384" width="8.96666666666667" style="17"/>
  </cols>
  <sheetData>
    <row r="1" s="16" customFormat="1" ht="60" customHeight="1" spans="1:23">
      <c r="A1" s="22" t="s">
        <v>131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="17" customFormat="1" ht="47" customHeight="1" spans="1:23">
      <c r="A2" s="24" t="s">
        <v>132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7"/>
    </row>
    <row r="3" s="17" customFormat="1" ht="63" customHeight="1" spans="1:23">
      <c r="A3" s="28" t="s">
        <v>133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0" t="s">
        <v>134</v>
      </c>
      <c r="T3" s="30"/>
      <c r="U3" s="30"/>
      <c r="V3" s="29" t="s">
        <v>135</v>
      </c>
      <c r="W3" s="31"/>
    </row>
    <row r="4" s="17" customFormat="1" ht="47" customHeight="1" spans="1:23">
      <c r="A4" s="30" t="s">
        <v>136</v>
      </c>
      <c r="B4" s="32" t="s">
        <v>137</v>
      </c>
      <c r="C4" s="32" t="s">
        <v>138</v>
      </c>
      <c r="D4" s="32" t="s">
        <v>139</v>
      </c>
      <c r="E4" s="32" t="s">
        <v>140</v>
      </c>
      <c r="F4" s="32" t="s">
        <v>141</v>
      </c>
      <c r="G4" s="32" t="s">
        <v>142</v>
      </c>
      <c r="H4" s="33" t="s">
        <v>143</v>
      </c>
      <c r="I4" s="33" t="s">
        <v>4</v>
      </c>
      <c r="J4" s="32" t="s">
        <v>144</v>
      </c>
      <c r="K4" s="32" t="s">
        <v>145</v>
      </c>
      <c r="L4" s="32" t="s">
        <v>146</v>
      </c>
      <c r="M4" s="30" t="s">
        <v>147</v>
      </c>
      <c r="N4" s="32" t="s">
        <v>148</v>
      </c>
      <c r="O4" s="32" t="s">
        <v>149</v>
      </c>
      <c r="P4" s="32" t="s">
        <v>150</v>
      </c>
      <c r="Q4" s="32" t="s">
        <v>151</v>
      </c>
      <c r="R4" s="32" t="s">
        <v>152</v>
      </c>
      <c r="S4" s="30" t="s">
        <v>153</v>
      </c>
      <c r="T4" s="30" t="s">
        <v>154</v>
      </c>
      <c r="U4" s="30" t="s">
        <v>155</v>
      </c>
      <c r="V4" s="34" t="s">
        <v>156</v>
      </c>
      <c r="W4" s="32" t="s">
        <v>157</v>
      </c>
    </row>
    <row r="5" ht="20" customHeight="1" spans="1:23">
      <c r="A5" s="35">
        <v>1</v>
      </c>
      <c r="B5" s="36">
        <v>45392</v>
      </c>
      <c r="C5" s="35" t="s">
        <v>158</v>
      </c>
      <c r="D5" s="35">
        <v>12345678911</v>
      </c>
      <c r="E5" s="35" t="s">
        <v>159</v>
      </c>
      <c r="F5" s="35" t="s">
        <v>160</v>
      </c>
      <c r="G5" s="35" t="s">
        <v>161</v>
      </c>
      <c r="H5" s="35" t="s">
        <v>162</v>
      </c>
      <c r="I5" s="35"/>
      <c r="J5" s="56">
        <v>45392.7916666667</v>
      </c>
      <c r="K5" s="35" t="s">
        <v>163</v>
      </c>
      <c r="L5" s="35" t="s">
        <v>164</v>
      </c>
      <c r="M5" s="35" t="s">
        <v>162</v>
      </c>
      <c r="N5" s="35" t="s">
        <v>165</v>
      </c>
      <c r="O5" s="35"/>
      <c r="P5" s="35"/>
      <c r="Q5" s="35"/>
      <c r="R5" s="35">
        <v>6800</v>
      </c>
      <c r="S5" s="39">
        <f>B5+7</f>
        <v>45399</v>
      </c>
      <c r="T5" s="39">
        <f>B5+15</f>
        <v>45407</v>
      </c>
      <c r="U5" s="39">
        <f>B5+30</f>
        <v>45422</v>
      </c>
      <c r="V5" s="39" t="s">
        <v>166</v>
      </c>
      <c r="W5" s="35"/>
    </row>
    <row r="6" ht="20" customHeight="1" spans="1:23">
      <c r="A6" s="35">
        <v>2</v>
      </c>
      <c r="B6" s="36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9">
        <f>B6+7</f>
        <v>7</v>
      </c>
      <c r="T6" s="39">
        <f>B6+15</f>
        <v>15</v>
      </c>
      <c r="U6" s="39">
        <f>B6+30</f>
        <v>30</v>
      </c>
      <c r="V6" s="39"/>
      <c r="W6" s="35"/>
    </row>
    <row r="7" s="18" customFormat="1" ht="20" customHeight="1" spans="1:23">
      <c r="A7" s="41">
        <v>3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3"/>
      <c r="T7" s="43"/>
      <c r="U7" s="43"/>
      <c r="V7" s="43"/>
      <c r="W7" s="41"/>
    </row>
    <row r="8" ht="20" customHeight="1" spans="1:23">
      <c r="A8" s="35">
        <v>4</v>
      </c>
      <c r="B8" s="36">
        <v>45880</v>
      </c>
      <c r="C8" s="35" t="s">
        <v>167</v>
      </c>
      <c r="D8" s="35">
        <v>18868015021</v>
      </c>
      <c r="E8" s="35" t="s">
        <v>168</v>
      </c>
      <c r="F8" s="35" t="s">
        <v>169</v>
      </c>
      <c r="G8" s="35" t="s">
        <v>170</v>
      </c>
      <c r="H8" s="35" t="s">
        <v>162</v>
      </c>
      <c r="I8" s="35"/>
      <c r="J8" s="56">
        <v>45881.5</v>
      </c>
      <c r="K8" s="35" t="s">
        <v>171</v>
      </c>
      <c r="L8" s="35" t="s">
        <v>172</v>
      </c>
      <c r="M8" s="35"/>
      <c r="N8" s="35" t="s">
        <v>173</v>
      </c>
      <c r="O8" s="35">
        <v>299</v>
      </c>
      <c r="P8" s="121" t="s">
        <v>174</v>
      </c>
      <c r="Q8" s="35"/>
      <c r="R8" s="35"/>
      <c r="S8" s="39"/>
      <c r="T8" s="39"/>
      <c r="U8" s="39"/>
      <c r="V8" s="39"/>
      <c r="W8" s="35"/>
    </row>
    <row r="9" ht="20" customHeight="1" spans="1:23">
      <c r="A9" s="35">
        <v>5</v>
      </c>
      <c r="B9" s="36">
        <v>45880</v>
      </c>
      <c r="C9" s="35" t="s">
        <v>175</v>
      </c>
      <c r="D9" s="35">
        <v>15058809737</v>
      </c>
      <c r="E9" s="35" t="s">
        <v>168</v>
      </c>
      <c r="F9" s="35" t="s">
        <v>176</v>
      </c>
      <c r="G9" s="35" t="s">
        <v>177</v>
      </c>
      <c r="H9" s="35" t="s">
        <v>162</v>
      </c>
      <c r="I9" s="35"/>
      <c r="J9" s="56">
        <v>45882.5034722222</v>
      </c>
      <c r="K9" s="35" t="s">
        <v>178</v>
      </c>
      <c r="L9" s="35" t="s">
        <v>177</v>
      </c>
      <c r="M9" s="35"/>
      <c r="N9" s="35"/>
      <c r="O9" s="35"/>
      <c r="P9" s="35"/>
      <c r="Q9" s="35" t="s">
        <v>179</v>
      </c>
      <c r="R9" s="35"/>
      <c r="S9" s="39"/>
      <c r="T9" s="39"/>
      <c r="U9" s="39"/>
      <c r="V9" s="39"/>
      <c r="W9" s="35"/>
    </row>
    <row r="10" ht="20" customHeight="1" spans="1:23">
      <c r="A10" s="35">
        <v>6</v>
      </c>
      <c r="B10" s="36">
        <v>45880</v>
      </c>
      <c r="C10" s="35" t="s">
        <v>180</v>
      </c>
      <c r="D10" s="35">
        <v>13705744022</v>
      </c>
      <c r="E10" s="35" t="s">
        <v>181</v>
      </c>
      <c r="F10" s="35" t="s">
        <v>182</v>
      </c>
      <c r="G10" s="35" t="s">
        <v>177</v>
      </c>
      <c r="H10" s="35" t="s">
        <v>162</v>
      </c>
      <c r="I10" s="35"/>
      <c r="J10" s="56">
        <v>45882.5034722222</v>
      </c>
      <c r="K10" s="35" t="s">
        <v>178</v>
      </c>
      <c r="L10" s="35" t="s">
        <v>177</v>
      </c>
      <c r="M10" s="35"/>
      <c r="N10" s="35" t="s">
        <v>183</v>
      </c>
      <c r="O10" s="35">
        <v>99</v>
      </c>
      <c r="P10" s="121" t="s">
        <v>184</v>
      </c>
      <c r="Q10" s="35" t="s">
        <v>179</v>
      </c>
      <c r="R10" s="35"/>
      <c r="S10" s="39"/>
      <c r="T10" s="39"/>
      <c r="U10" s="39"/>
      <c r="V10" s="39"/>
      <c r="W10" s="35"/>
    </row>
    <row r="11" ht="20" customHeight="1" spans="1:23">
      <c r="A11" s="35">
        <v>7</v>
      </c>
      <c r="B11" s="36">
        <v>45880</v>
      </c>
      <c r="C11" s="35" t="s">
        <v>185</v>
      </c>
      <c r="D11" s="35"/>
      <c r="E11" s="35" t="s">
        <v>181</v>
      </c>
      <c r="F11" s="35" t="s">
        <v>182</v>
      </c>
      <c r="G11" s="35" t="s">
        <v>177</v>
      </c>
      <c r="H11" s="35" t="s">
        <v>162</v>
      </c>
      <c r="I11" s="35"/>
      <c r="J11" s="56">
        <v>45882.5034722222</v>
      </c>
      <c r="K11" s="35" t="s">
        <v>178</v>
      </c>
      <c r="L11" s="35" t="s">
        <v>177</v>
      </c>
      <c r="M11" s="35"/>
      <c r="N11" s="35" t="s">
        <v>183</v>
      </c>
      <c r="O11" s="35">
        <v>99</v>
      </c>
      <c r="P11" s="121" t="s">
        <v>186</v>
      </c>
      <c r="Q11" s="35" t="s">
        <v>179</v>
      </c>
      <c r="R11" s="35"/>
      <c r="S11" s="39"/>
      <c r="T11" s="39"/>
      <c r="U11" s="39"/>
      <c r="V11" s="39"/>
      <c r="W11" s="35"/>
    </row>
    <row r="12" ht="20" customHeight="1" spans="1:23">
      <c r="A12" s="35">
        <v>8</v>
      </c>
      <c r="B12" s="36">
        <v>45883</v>
      </c>
      <c r="C12" s="35" t="s">
        <v>187</v>
      </c>
      <c r="D12" s="35">
        <v>13567542747</v>
      </c>
      <c r="E12" s="35" t="s">
        <v>188</v>
      </c>
      <c r="F12" s="35" t="s">
        <v>189</v>
      </c>
      <c r="G12" s="35" t="s">
        <v>190</v>
      </c>
      <c r="H12" s="35" t="s">
        <v>162</v>
      </c>
      <c r="I12" s="35"/>
      <c r="J12" s="56">
        <v>45883.75</v>
      </c>
      <c r="K12" s="35" t="s">
        <v>191</v>
      </c>
      <c r="L12" s="35" t="s">
        <v>170</v>
      </c>
      <c r="M12" s="35"/>
      <c r="N12" s="35"/>
      <c r="O12" s="35"/>
      <c r="P12" s="35"/>
      <c r="Q12" s="35" t="s">
        <v>179</v>
      </c>
      <c r="R12" s="35"/>
      <c r="S12" s="39"/>
      <c r="T12" s="39"/>
      <c r="U12" s="39"/>
      <c r="V12" s="39"/>
      <c r="W12" s="35"/>
    </row>
    <row r="13" ht="20" customHeight="1" spans="1:23">
      <c r="A13" s="35">
        <v>9</v>
      </c>
      <c r="B13" s="36">
        <v>45883</v>
      </c>
      <c r="C13" s="35" t="s">
        <v>192</v>
      </c>
      <c r="D13" s="35">
        <v>13884409468</v>
      </c>
      <c r="E13" s="35" t="s">
        <v>159</v>
      </c>
      <c r="F13" s="35" t="s">
        <v>189</v>
      </c>
      <c r="G13" s="35" t="s">
        <v>170</v>
      </c>
      <c r="H13" s="35" t="s">
        <v>162</v>
      </c>
      <c r="I13" s="35"/>
      <c r="J13" s="56">
        <v>45888.5</v>
      </c>
      <c r="K13" s="35" t="s">
        <v>163</v>
      </c>
      <c r="L13" s="35" t="s">
        <v>164</v>
      </c>
      <c r="M13" s="35"/>
      <c r="N13" s="35" t="s">
        <v>193</v>
      </c>
      <c r="O13" s="35">
        <v>259</v>
      </c>
      <c r="P13" s="35">
        <v>4837090457</v>
      </c>
      <c r="Q13" s="35"/>
      <c r="R13" s="35"/>
      <c r="S13" s="39"/>
      <c r="T13" s="39"/>
      <c r="U13" s="39"/>
      <c r="V13" s="39"/>
      <c r="W13" s="35"/>
    </row>
    <row r="14" ht="20" customHeight="1" spans="1:23">
      <c r="A14" s="35">
        <v>10</v>
      </c>
      <c r="B14" s="36">
        <v>45880</v>
      </c>
      <c r="C14" s="35" t="s">
        <v>194</v>
      </c>
      <c r="D14" s="35">
        <v>13738823876</v>
      </c>
      <c r="E14" s="35" t="s">
        <v>195</v>
      </c>
      <c r="F14" s="35" t="s">
        <v>189</v>
      </c>
      <c r="G14" s="35" t="s">
        <v>177</v>
      </c>
      <c r="H14" s="35" t="s">
        <v>162</v>
      </c>
      <c r="I14" s="35"/>
      <c r="J14" s="56">
        <v>45884.6041666667</v>
      </c>
      <c r="K14" s="35" t="s">
        <v>196</v>
      </c>
      <c r="L14" s="35" t="s">
        <v>190</v>
      </c>
      <c r="M14" s="35"/>
      <c r="N14" s="35"/>
      <c r="O14" s="35"/>
      <c r="P14" s="35"/>
      <c r="Q14" s="35" t="s">
        <v>179</v>
      </c>
      <c r="R14" s="35"/>
      <c r="S14" s="39"/>
      <c r="T14" s="39"/>
      <c r="U14" s="39"/>
      <c r="V14" s="39"/>
    </row>
    <row r="15" ht="20" customHeight="1" spans="1:23">
      <c r="A15" s="35">
        <v>11</v>
      </c>
      <c r="B15" s="36">
        <v>45889</v>
      </c>
      <c r="C15" s="35" t="s">
        <v>197</v>
      </c>
      <c r="D15" s="35">
        <v>13777073477</v>
      </c>
      <c r="E15" s="35" t="s">
        <v>168</v>
      </c>
      <c r="F15" s="35" t="s">
        <v>198</v>
      </c>
      <c r="G15" s="35" t="s">
        <v>190</v>
      </c>
      <c r="H15" s="35" t="s">
        <v>162</v>
      </c>
      <c r="I15" s="35"/>
      <c r="J15" s="56">
        <v>45895.8125</v>
      </c>
      <c r="K15" s="35" t="s">
        <v>196</v>
      </c>
      <c r="L15" s="35" t="s">
        <v>190</v>
      </c>
      <c r="M15" s="35"/>
      <c r="N15" s="35"/>
      <c r="O15" s="35"/>
      <c r="P15" s="35"/>
      <c r="Q15" s="35" t="s">
        <v>179</v>
      </c>
      <c r="R15" s="35"/>
      <c r="S15" s="39"/>
      <c r="T15" s="39"/>
      <c r="U15" s="39"/>
      <c r="V15" s="39"/>
    </row>
    <row r="16" ht="20" customHeight="1" spans="1:23">
      <c r="A16" s="35">
        <v>12</v>
      </c>
      <c r="B16" s="36">
        <v>45890</v>
      </c>
      <c r="C16" s="35" t="s">
        <v>199</v>
      </c>
      <c r="D16" s="35">
        <v>19032342046</v>
      </c>
      <c r="E16" s="35" t="s">
        <v>168</v>
      </c>
      <c r="F16" s="35" t="s">
        <v>189</v>
      </c>
      <c r="G16" s="35"/>
      <c r="H16" s="35" t="s">
        <v>200</v>
      </c>
      <c r="I16" s="35" t="s">
        <v>201</v>
      </c>
      <c r="J16" s="56"/>
      <c r="K16" s="35"/>
      <c r="L16" s="35"/>
      <c r="M16" s="35"/>
      <c r="N16" s="35"/>
      <c r="O16" s="35"/>
      <c r="P16" s="35"/>
      <c r="Q16" s="35"/>
      <c r="R16" s="35"/>
      <c r="S16" s="39"/>
      <c r="T16" s="39"/>
      <c r="U16" s="39"/>
      <c r="V16" s="39"/>
    </row>
    <row r="17" ht="20" customHeight="1" spans="1:23">
      <c r="A17" s="35">
        <v>13</v>
      </c>
      <c r="B17" s="36">
        <v>45892</v>
      </c>
      <c r="C17" s="35"/>
      <c r="D17" s="35"/>
      <c r="E17" s="35" t="s">
        <v>168</v>
      </c>
      <c r="F17" s="35" t="s">
        <v>169</v>
      </c>
      <c r="G17" s="35" t="s">
        <v>190</v>
      </c>
      <c r="H17" s="35" t="s">
        <v>162</v>
      </c>
      <c r="I17" s="35" t="s">
        <v>202</v>
      </c>
      <c r="J17" s="56">
        <v>45892.5</v>
      </c>
      <c r="K17" s="35" t="s">
        <v>171</v>
      </c>
      <c r="L17" s="35" t="s">
        <v>170</v>
      </c>
      <c r="M17" s="35"/>
      <c r="N17" s="35" t="s">
        <v>203</v>
      </c>
      <c r="O17" s="35">
        <v>79</v>
      </c>
      <c r="P17" s="121" t="s">
        <v>204</v>
      </c>
      <c r="Q17" s="35"/>
      <c r="R17" s="35"/>
      <c r="S17" s="39"/>
      <c r="T17" s="39"/>
      <c r="U17" s="39"/>
      <c r="V17" s="39"/>
      <c r="W17" s="35"/>
    </row>
    <row r="18" ht="20" customHeight="1" spans="1:23">
      <c r="A18" s="35">
        <v>14</v>
      </c>
      <c r="B18" s="36">
        <v>45892</v>
      </c>
      <c r="C18" s="35" t="s">
        <v>205</v>
      </c>
      <c r="D18" s="35">
        <v>13515842891</v>
      </c>
      <c r="E18" s="35" t="s">
        <v>168</v>
      </c>
      <c r="F18" s="35" t="s">
        <v>189</v>
      </c>
      <c r="G18" s="35"/>
      <c r="H18" s="35" t="s">
        <v>200</v>
      </c>
      <c r="I18" s="35" t="s">
        <v>201</v>
      </c>
      <c r="J18" s="35"/>
      <c r="K18" s="35"/>
      <c r="L18" s="35"/>
      <c r="M18" s="35"/>
      <c r="N18" s="35"/>
      <c r="O18" s="35"/>
      <c r="P18" s="35"/>
      <c r="Q18" s="35"/>
      <c r="R18" s="35"/>
      <c r="S18" s="39"/>
      <c r="T18" s="39"/>
      <c r="U18" s="39"/>
      <c r="V18" s="39"/>
      <c r="W18" s="35"/>
    </row>
    <row r="19" ht="20" customHeight="1" spans="1:23">
      <c r="A19" s="35">
        <v>15</v>
      </c>
      <c r="B19" s="36">
        <v>45892</v>
      </c>
      <c r="C19" s="35" t="s">
        <v>206</v>
      </c>
      <c r="D19" s="35">
        <v>15824582575</v>
      </c>
      <c r="E19" s="35" t="s">
        <v>168</v>
      </c>
      <c r="F19" s="35" t="s">
        <v>169</v>
      </c>
      <c r="G19" s="35"/>
      <c r="H19" s="35" t="s">
        <v>200</v>
      </c>
      <c r="I19" s="35" t="s">
        <v>201</v>
      </c>
      <c r="J19" s="35"/>
      <c r="K19" s="35"/>
      <c r="L19" s="35"/>
      <c r="M19" s="35"/>
      <c r="N19" s="35"/>
      <c r="O19" s="35"/>
      <c r="P19" s="35"/>
      <c r="Q19" s="35"/>
      <c r="R19" s="35"/>
      <c r="S19" s="39"/>
      <c r="T19" s="39"/>
      <c r="U19" s="39"/>
      <c r="V19" s="39"/>
      <c r="W19" s="35"/>
    </row>
    <row r="20" ht="20" customHeight="1" spans="1:23">
      <c r="A20" s="35">
        <v>16</v>
      </c>
      <c r="B20" s="36">
        <v>45893</v>
      </c>
      <c r="C20" s="35" t="s">
        <v>207</v>
      </c>
      <c r="D20" s="35">
        <v>18158519140</v>
      </c>
      <c r="E20" s="35" t="s">
        <v>168</v>
      </c>
      <c r="F20" s="35" t="s">
        <v>169</v>
      </c>
      <c r="G20" s="35"/>
      <c r="H20" s="35" t="s">
        <v>200</v>
      </c>
      <c r="I20" s="35" t="s">
        <v>201</v>
      </c>
      <c r="J20" s="35"/>
      <c r="K20" s="35"/>
      <c r="L20" s="35"/>
      <c r="M20" s="35"/>
      <c r="N20" s="35"/>
      <c r="O20" s="35"/>
      <c r="P20" s="35"/>
      <c r="Q20" s="35"/>
      <c r="R20" s="35"/>
      <c r="S20" s="39"/>
      <c r="T20" s="39"/>
      <c r="U20" s="39"/>
      <c r="V20" s="39"/>
      <c r="W20" s="35"/>
    </row>
    <row r="21" ht="20" customHeight="1" spans="1:23">
      <c r="A21" s="35">
        <v>17</v>
      </c>
      <c r="B21" s="36">
        <v>45895</v>
      </c>
      <c r="C21" s="35" t="s">
        <v>208</v>
      </c>
      <c r="D21" s="35">
        <v>18600753614</v>
      </c>
      <c r="E21" s="35" t="s">
        <v>188</v>
      </c>
      <c r="F21" s="38" t="s">
        <v>209</v>
      </c>
      <c r="G21" s="35" t="s">
        <v>210</v>
      </c>
      <c r="H21" s="35" t="s">
        <v>162</v>
      </c>
      <c r="I21" s="35"/>
      <c r="J21" s="56">
        <v>45895.5833333333</v>
      </c>
      <c r="K21" s="35" t="s">
        <v>191</v>
      </c>
      <c r="L21" s="35" t="s">
        <v>211</v>
      </c>
      <c r="M21" s="35"/>
      <c r="N21" s="35" t="s">
        <v>212</v>
      </c>
      <c r="O21" s="35">
        <v>399</v>
      </c>
      <c r="P21" s="35">
        <v>3482942659</v>
      </c>
      <c r="Q21" s="35"/>
      <c r="R21" s="35"/>
      <c r="S21" s="39"/>
      <c r="T21" s="39"/>
      <c r="U21" s="39"/>
      <c r="V21" s="39"/>
      <c r="W21" s="35"/>
    </row>
    <row r="22" ht="20" customHeight="1" spans="1:23">
      <c r="A22" s="35">
        <v>18</v>
      </c>
      <c r="B22" s="36">
        <v>45896</v>
      </c>
      <c r="C22" s="35" t="s">
        <v>213</v>
      </c>
      <c r="D22" s="35">
        <v>13957885556</v>
      </c>
      <c r="E22" s="35" t="s">
        <v>214</v>
      </c>
      <c r="F22" s="35" t="s">
        <v>189</v>
      </c>
      <c r="G22" s="35"/>
      <c r="H22" s="35" t="s">
        <v>200</v>
      </c>
      <c r="I22" s="35" t="s">
        <v>215</v>
      </c>
      <c r="J22" s="35"/>
      <c r="K22" s="35"/>
      <c r="L22" s="35"/>
      <c r="M22" s="35"/>
      <c r="N22" s="35" t="s">
        <v>212</v>
      </c>
      <c r="O22" s="35">
        <v>399</v>
      </c>
      <c r="P22" s="35"/>
      <c r="Q22" s="35"/>
      <c r="R22" s="35"/>
      <c r="S22" s="39"/>
      <c r="T22" s="39"/>
      <c r="U22" s="39"/>
      <c r="V22" s="39"/>
      <c r="W22" s="35"/>
    </row>
    <row r="23" ht="20" customHeight="1" spans="1:23">
      <c r="A23" s="35">
        <v>19</v>
      </c>
      <c r="B23" s="36">
        <v>45896</v>
      </c>
      <c r="C23" s="35" t="s">
        <v>216</v>
      </c>
      <c r="D23" s="35">
        <v>13805882456</v>
      </c>
      <c r="E23" s="35" t="s">
        <v>168</v>
      </c>
      <c r="F23" s="38" t="s">
        <v>209</v>
      </c>
      <c r="G23" s="35"/>
      <c r="H23" s="35" t="s">
        <v>200</v>
      </c>
      <c r="I23" s="35" t="s">
        <v>217</v>
      </c>
      <c r="J23" s="35"/>
      <c r="K23" s="35"/>
      <c r="L23" s="35"/>
      <c r="M23" s="35"/>
      <c r="N23" s="35"/>
      <c r="O23" s="35"/>
      <c r="P23" s="35"/>
      <c r="Q23" s="35"/>
      <c r="R23" s="35"/>
      <c r="S23" s="39"/>
      <c r="T23" s="39"/>
      <c r="U23" s="39"/>
      <c r="V23" s="39"/>
      <c r="W23" s="35"/>
    </row>
    <row r="24" ht="20" customHeight="1" spans="1:23">
      <c r="A24" s="35">
        <v>20</v>
      </c>
      <c r="B24" s="36">
        <v>45896</v>
      </c>
      <c r="C24" s="35" t="s">
        <v>218</v>
      </c>
      <c r="D24" s="35">
        <v>13586698319</v>
      </c>
      <c r="E24" s="35" t="s">
        <v>168</v>
      </c>
      <c r="F24" s="35" t="s">
        <v>189</v>
      </c>
      <c r="G24" s="35" t="s">
        <v>170</v>
      </c>
      <c r="H24" s="35" t="s">
        <v>162</v>
      </c>
      <c r="I24" s="35"/>
      <c r="J24" s="56">
        <v>45897.7708333333</v>
      </c>
      <c r="K24" s="35" t="s">
        <v>178</v>
      </c>
      <c r="L24" s="35" t="s">
        <v>177</v>
      </c>
      <c r="M24" s="35"/>
      <c r="N24" s="35" t="s">
        <v>219</v>
      </c>
      <c r="O24" s="35">
        <v>89</v>
      </c>
      <c r="P24" s="121" t="s">
        <v>220</v>
      </c>
      <c r="Q24" s="35"/>
      <c r="R24" s="35"/>
      <c r="S24" s="39"/>
      <c r="T24" s="39"/>
      <c r="U24" s="39"/>
      <c r="V24" s="39"/>
      <c r="W24" s="35"/>
    </row>
    <row r="25" ht="20" customHeight="1" spans="1:23">
      <c r="A25" s="35">
        <v>21</v>
      </c>
      <c r="B25" s="36">
        <v>45897</v>
      </c>
      <c r="C25" s="35" t="s">
        <v>221</v>
      </c>
      <c r="D25" s="35">
        <v>18606682217</v>
      </c>
      <c r="E25" s="35" t="s">
        <v>168</v>
      </c>
      <c r="F25" s="35" t="s">
        <v>189</v>
      </c>
      <c r="G25" s="35" t="s">
        <v>177</v>
      </c>
      <c r="H25" s="35" t="s">
        <v>162</v>
      </c>
      <c r="I25" s="35"/>
      <c r="J25" s="56">
        <v>45898.5</v>
      </c>
      <c r="K25" s="35" t="s">
        <v>222</v>
      </c>
      <c r="L25" s="35" t="s">
        <v>177</v>
      </c>
      <c r="M25" s="35"/>
      <c r="N25" s="35" t="s">
        <v>223</v>
      </c>
      <c r="O25" s="35">
        <v>69</v>
      </c>
      <c r="P25" s="35">
        <v>7449297986</v>
      </c>
      <c r="Q25" s="35"/>
      <c r="R25" s="35"/>
      <c r="S25" s="39"/>
      <c r="T25" s="39"/>
      <c r="U25" s="39"/>
      <c r="V25" s="39"/>
      <c r="W25" s="35"/>
    </row>
    <row r="26" s="18" customFormat="1" ht="20" customHeight="1" spans="1:23">
      <c r="A26" s="41"/>
      <c r="B26" s="40"/>
      <c r="C26" s="41"/>
      <c r="D26" s="41"/>
      <c r="E26" s="41"/>
      <c r="F26" s="41"/>
      <c r="G26" s="41"/>
      <c r="H26" s="41"/>
      <c r="I26" s="41"/>
      <c r="J26" s="63"/>
      <c r="K26" s="41"/>
      <c r="L26" s="41"/>
      <c r="M26" s="41"/>
      <c r="N26" s="41"/>
      <c r="O26" s="41"/>
      <c r="P26" s="41"/>
      <c r="Q26" s="41"/>
      <c r="R26" s="41"/>
      <c r="S26" s="43"/>
      <c r="T26" s="43"/>
      <c r="U26" s="43"/>
      <c r="V26" s="43"/>
      <c r="W26" s="41"/>
    </row>
    <row r="27" ht="20" customHeight="1" spans="1:23">
      <c r="A27" s="35">
        <v>22</v>
      </c>
      <c r="B27" s="36">
        <v>45901</v>
      </c>
      <c r="C27" s="35" t="s">
        <v>224</v>
      </c>
      <c r="D27" s="35">
        <v>15157628922</v>
      </c>
      <c r="E27" s="35" t="s">
        <v>168</v>
      </c>
      <c r="F27" s="35" t="s">
        <v>189</v>
      </c>
      <c r="G27" s="35" t="s">
        <v>190</v>
      </c>
      <c r="H27" s="35" t="s">
        <v>200</v>
      </c>
      <c r="I27" s="35" t="s">
        <v>225</v>
      </c>
      <c r="J27" s="56">
        <v>45904.8020833333</v>
      </c>
      <c r="K27" s="35" t="s">
        <v>171</v>
      </c>
      <c r="L27" s="35"/>
      <c r="M27" s="35"/>
      <c r="N27" s="35" t="s">
        <v>226</v>
      </c>
      <c r="O27" s="35">
        <v>199</v>
      </c>
      <c r="P27" s="35"/>
      <c r="Q27" s="35"/>
      <c r="R27" s="35"/>
      <c r="S27" s="39"/>
      <c r="T27" s="39"/>
      <c r="U27" s="39"/>
      <c r="V27" s="39"/>
      <c r="W27" s="35"/>
    </row>
    <row r="28" ht="40" customHeight="1" spans="1:23">
      <c r="A28" s="35">
        <v>23</v>
      </c>
      <c r="B28" s="36">
        <v>45902</v>
      </c>
      <c r="C28" s="35" t="s">
        <v>227</v>
      </c>
      <c r="D28" s="35">
        <v>13142037957</v>
      </c>
      <c r="E28" s="35" t="s">
        <v>195</v>
      </c>
      <c r="F28" s="35" t="s">
        <v>189</v>
      </c>
      <c r="G28" s="35" t="s">
        <v>210</v>
      </c>
      <c r="H28" s="35" t="s">
        <v>162</v>
      </c>
      <c r="I28" s="35"/>
      <c r="J28" s="56">
        <v>45902.5555555556</v>
      </c>
      <c r="K28" s="35" t="s">
        <v>163</v>
      </c>
      <c r="L28" s="35" t="s">
        <v>210</v>
      </c>
      <c r="M28" s="35"/>
      <c r="N28" s="35" t="s">
        <v>212</v>
      </c>
      <c r="O28" s="35">
        <v>399</v>
      </c>
      <c r="P28" s="35">
        <v>4052006061</v>
      </c>
      <c r="Q28" s="38" t="s">
        <v>228</v>
      </c>
      <c r="R28" s="35" t="s">
        <v>229</v>
      </c>
      <c r="S28" s="39"/>
      <c r="T28" s="39"/>
      <c r="U28" s="39"/>
      <c r="V28" s="39"/>
      <c r="W28" s="35"/>
    </row>
    <row r="29" ht="40" customHeight="1" spans="1:23">
      <c r="A29" s="35">
        <v>24</v>
      </c>
      <c r="B29" s="36">
        <v>45902</v>
      </c>
      <c r="C29" s="35" t="s">
        <v>230</v>
      </c>
      <c r="D29" s="35">
        <v>18438007033</v>
      </c>
      <c r="E29" s="35" t="s">
        <v>159</v>
      </c>
      <c r="F29" s="35" t="s">
        <v>189</v>
      </c>
      <c r="G29" s="17" t="s">
        <v>211</v>
      </c>
      <c r="H29" s="35" t="s">
        <v>200</v>
      </c>
      <c r="I29" s="35" t="s">
        <v>225</v>
      </c>
      <c r="J29" s="56"/>
      <c r="K29" s="35"/>
      <c r="L29" s="35"/>
      <c r="M29" s="35"/>
      <c r="N29" s="35"/>
      <c r="O29" s="35"/>
      <c r="P29" s="35"/>
      <c r="Q29" s="38"/>
      <c r="R29" s="35"/>
      <c r="S29" s="39"/>
      <c r="T29" s="39"/>
      <c r="U29" s="39"/>
      <c r="V29" s="39"/>
      <c r="W29" s="35"/>
    </row>
    <row r="30" ht="38" customHeight="1" spans="1:23">
      <c r="A30" s="35">
        <v>25</v>
      </c>
      <c r="B30" s="36">
        <v>45904</v>
      </c>
      <c r="C30" s="35" t="s">
        <v>231</v>
      </c>
      <c r="D30" s="35">
        <v>18268642196</v>
      </c>
      <c r="E30" s="35" t="s">
        <v>168</v>
      </c>
      <c r="F30" s="35" t="s">
        <v>232</v>
      </c>
      <c r="G30" s="35" t="s">
        <v>170</v>
      </c>
      <c r="H30" s="35" t="s">
        <v>162</v>
      </c>
      <c r="I30" s="35"/>
      <c r="J30" s="56">
        <v>45904.5</v>
      </c>
      <c r="K30" s="35" t="s">
        <v>233</v>
      </c>
      <c r="L30" s="35" t="s">
        <v>170</v>
      </c>
      <c r="M30" s="35"/>
      <c r="N30" s="38" t="s">
        <v>234</v>
      </c>
      <c r="O30" s="35"/>
      <c r="P30" s="35"/>
      <c r="Q30" s="35"/>
      <c r="R30" s="35"/>
      <c r="S30" s="39"/>
      <c r="T30" s="39"/>
      <c r="U30" s="39"/>
      <c r="V30" s="39"/>
      <c r="W30" s="35"/>
    </row>
    <row r="31" ht="20" customHeight="1" spans="1:23">
      <c r="A31" s="35">
        <v>26</v>
      </c>
      <c r="B31" s="36">
        <v>45904</v>
      </c>
      <c r="C31" s="35" t="s">
        <v>235</v>
      </c>
      <c r="D31" s="35">
        <v>18658269006</v>
      </c>
      <c r="E31" s="35" t="s">
        <v>168</v>
      </c>
      <c r="F31" s="35" t="s">
        <v>169</v>
      </c>
      <c r="G31" s="35" t="s">
        <v>190</v>
      </c>
      <c r="H31" s="35" t="s">
        <v>162</v>
      </c>
      <c r="I31" s="35" t="s">
        <v>236</v>
      </c>
      <c r="J31" s="56">
        <v>45905.5</v>
      </c>
      <c r="K31" s="35" t="s">
        <v>171</v>
      </c>
      <c r="L31" s="35" t="s">
        <v>211</v>
      </c>
      <c r="M31" s="35"/>
      <c r="N31" s="35" t="s">
        <v>226</v>
      </c>
      <c r="O31" s="35">
        <v>199</v>
      </c>
      <c r="P31" s="121" t="s">
        <v>237</v>
      </c>
      <c r="Q31" s="35"/>
      <c r="R31" s="35"/>
      <c r="S31" s="39"/>
      <c r="T31" s="39"/>
      <c r="U31" s="39"/>
      <c r="V31" s="39"/>
      <c r="W31" s="35"/>
    </row>
    <row r="32" ht="20" customHeight="1" spans="1:23">
      <c r="A32" s="35">
        <v>27</v>
      </c>
      <c r="B32" s="36">
        <v>45870</v>
      </c>
      <c r="C32" s="35" t="s">
        <v>238</v>
      </c>
      <c r="D32" s="35">
        <v>13958760289</v>
      </c>
      <c r="E32" s="35" t="s">
        <v>159</v>
      </c>
      <c r="F32" s="35" t="s">
        <v>239</v>
      </c>
      <c r="G32" s="35" t="s">
        <v>190</v>
      </c>
      <c r="H32" s="35" t="s">
        <v>162</v>
      </c>
      <c r="I32" s="35" t="s">
        <v>240</v>
      </c>
      <c r="J32" s="56">
        <v>45906.3333333333</v>
      </c>
      <c r="K32" s="35" t="s">
        <v>163</v>
      </c>
      <c r="L32" s="35" t="s">
        <v>211</v>
      </c>
      <c r="M32" s="35" t="s">
        <v>162</v>
      </c>
      <c r="N32" s="35"/>
      <c r="O32" s="35"/>
      <c r="P32" s="35"/>
      <c r="Q32" s="35" t="s">
        <v>241</v>
      </c>
      <c r="R32" s="35"/>
      <c r="S32" s="39"/>
      <c r="T32" s="39"/>
      <c r="U32" s="39"/>
      <c r="V32" s="39"/>
      <c r="W32" s="35"/>
    </row>
    <row r="33" ht="20" customHeight="1" spans="1:23">
      <c r="A33" s="35">
        <v>28</v>
      </c>
      <c r="B33" s="36">
        <v>45904</v>
      </c>
      <c r="C33" s="35" t="s">
        <v>242</v>
      </c>
      <c r="D33" s="35">
        <v>18868935976</v>
      </c>
      <c r="E33" s="35" t="s">
        <v>168</v>
      </c>
      <c r="F33" s="35" t="s">
        <v>189</v>
      </c>
      <c r="G33" s="35" t="s">
        <v>170</v>
      </c>
      <c r="H33" s="35" t="s">
        <v>162</v>
      </c>
      <c r="I33" s="51" t="s">
        <v>243</v>
      </c>
      <c r="J33" s="56">
        <v>45924.5</v>
      </c>
      <c r="K33" s="35" t="s">
        <v>244</v>
      </c>
      <c r="L33" s="35" t="s">
        <v>170</v>
      </c>
      <c r="M33" s="35"/>
      <c r="N33" s="35" t="s">
        <v>244</v>
      </c>
      <c r="O33" s="35">
        <v>99</v>
      </c>
      <c r="P33" s="35">
        <v>7906288233</v>
      </c>
      <c r="Q33" s="35"/>
      <c r="R33" s="35"/>
      <c r="S33" s="39"/>
      <c r="T33" s="39"/>
      <c r="U33" s="39"/>
      <c r="V33" s="39"/>
      <c r="W33" s="35"/>
    </row>
    <row r="34" ht="20" customHeight="1" spans="1:23">
      <c r="A34" s="35">
        <v>29</v>
      </c>
      <c r="B34" s="36">
        <v>45904</v>
      </c>
      <c r="C34" s="35" t="s">
        <v>245</v>
      </c>
      <c r="D34" s="35">
        <v>18868935976</v>
      </c>
      <c r="E34" s="35" t="s">
        <v>168</v>
      </c>
      <c r="F34" s="35" t="s">
        <v>189</v>
      </c>
      <c r="G34" s="35" t="s">
        <v>170</v>
      </c>
      <c r="H34" s="35" t="s">
        <v>200</v>
      </c>
      <c r="I34" s="52"/>
      <c r="J34" s="56"/>
      <c r="K34" s="35"/>
      <c r="L34" s="35"/>
      <c r="M34" s="35"/>
      <c r="N34" s="35"/>
      <c r="O34" s="35"/>
      <c r="P34" s="35"/>
      <c r="Q34" s="35"/>
      <c r="R34" s="35"/>
      <c r="S34" s="39"/>
      <c r="T34" s="39"/>
      <c r="U34" s="39"/>
      <c r="V34" s="39"/>
      <c r="W34" s="35"/>
    </row>
    <row r="35" ht="20" customHeight="1" spans="1:23">
      <c r="A35" s="35">
        <v>30</v>
      </c>
      <c r="B35" s="36">
        <v>45906</v>
      </c>
      <c r="C35" s="35" t="s">
        <v>246</v>
      </c>
      <c r="D35" s="35">
        <v>15067449722</v>
      </c>
      <c r="E35" s="35" t="s">
        <v>168</v>
      </c>
      <c r="F35" s="35" t="s">
        <v>189</v>
      </c>
      <c r="G35" s="35" t="s">
        <v>177</v>
      </c>
      <c r="H35" s="35" t="s">
        <v>162</v>
      </c>
      <c r="I35" s="35"/>
      <c r="J35" s="56">
        <v>45907.6041666667</v>
      </c>
      <c r="K35" s="35" t="s">
        <v>247</v>
      </c>
      <c r="L35" s="35" t="s">
        <v>248</v>
      </c>
      <c r="M35" s="35"/>
      <c r="N35" s="35" t="s">
        <v>249</v>
      </c>
      <c r="O35" s="35">
        <v>199</v>
      </c>
      <c r="P35" s="35">
        <v>91231512494</v>
      </c>
      <c r="Q35" s="35"/>
      <c r="R35" s="35"/>
      <c r="S35" s="39"/>
      <c r="T35" s="39"/>
      <c r="U35" s="39"/>
      <c r="V35" s="39"/>
      <c r="W35" s="35"/>
    </row>
    <row r="36" ht="20" customHeight="1" spans="1:23">
      <c r="A36" s="35">
        <v>31</v>
      </c>
      <c r="B36" s="36">
        <v>45905</v>
      </c>
      <c r="C36" s="35" t="s">
        <v>246</v>
      </c>
      <c r="D36" s="35">
        <v>17753231752</v>
      </c>
      <c r="E36" s="35" t="s">
        <v>168</v>
      </c>
      <c r="F36" s="35" t="s">
        <v>189</v>
      </c>
      <c r="G36" s="35" t="s">
        <v>190</v>
      </c>
      <c r="H36" s="35" t="s">
        <v>162</v>
      </c>
      <c r="I36" s="35"/>
      <c r="J36" s="56">
        <v>45907.6875</v>
      </c>
      <c r="K36" s="35" t="s">
        <v>171</v>
      </c>
      <c r="L36" s="35" t="s">
        <v>248</v>
      </c>
      <c r="M36" s="35"/>
      <c r="N36" s="35" t="s">
        <v>249</v>
      </c>
      <c r="O36" s="35">
        <v>199</v>
      </c>
      <c r="P36" s="121" t="s">
        <v>250</v>
      </c>
      <c r="Q36" s="35"/>
      <c r="R36" s="35"/>
      <c r="S36" s="39"/>
      <c r="T36" s="39"/>
      <c r="U36" s="39"/>
      <c r="V36" s="39"/>
      <c r="W36" s="35"/>
    </row>
    <row r="37" ht="20" customHeight="1" spans="1:23">
      <c r="A37" s="35">
        <v>32</v>
      </c>
      <c r="B37" s="36"/>
      <c r="C37" s="35"/>
      <c r="D37" s="35"/>
      <c r="E37" s="35"/>
      <c r="F37" s="35"/>
      <c r="G37" s="35" t="s">
        <v>210</v>
      </c>
      <c r="H37" s="35"/>
      <c r="I37" s="35" t="s">
        <v>251</v>
      </c>
      <c r="J37" s="56"/>
      <c r="K37" s="35"/>
      <c r="L37" s="35"/>
      <c r="M37" s="35"/>
      <c r="N37" s="35"/>
      <c r="O37" s="35"/>
      <c r="P37" s="35"/>
      <c r="Q37" s="35"/>
      <c r="R37" s="35"/>
      <c r="S37" s="39"/>
      <c r="T37" s="39"/>
      <c r="U37" s="39"/>
      <c r="V37" s="39"/>
      <c r="W37" s="35"/>
    </row>
    <row r="38" ht="20" customHeight="1" spans="1:23">
      <c r="A38" s="35">
        <v>33</v>
      </c>
      <c r="B38" s="36">
        <v>45906</v>
      </c>
      <c r="C38" s="35" t="s">
        <v>252</v>
      </c>
      <c r="D38" s="35">
        <v>13120966832</v>
      </c>
      <c r="E38" s="35" t="s">
        <v>168</v>
      </c>
      <c r="F38" s="35" t="s">
        <v>253</v>
      </c>
      <c r="G38" s="35" t="s">
        <v>211</v>
      </c>
      <c r="H38" s="35" t="s">
        <v>162</v>
      </c>
      <c r="I38" s="35"/>
      <c r="J38" s="56">
        <v>45906.6041666667</v>
      </c>
      <c r="K38" s="35" t="s">
        <v>254</v>
      </c>
      <c r="L38" s="35" t="s">
        <v>170</v>
      </c>
      <c r="M38" s="35"/>
      <c r="N38" s="35" t="s">
        <v>255</v>
      </c>
      <c r="O38" s="35" t="s">
        <v>256</v>
      </c>
      <c r="P38" s="121" t="s">
        <v>257</v>
      </c>
      <c r="Q38" s="35"/>
      <c r="R38" s="35"/>
      <c r="S38" s="39"/>
      <c r="T38" s="39"/>
      <c r="U38" s="39"/>
      <c r="V38" s="39"/>
      <c r="W38" s="35"/>
    </row>
    <row r="39" ht="20" customHeight="1" spans="1:23">
      <c r="A39" s="35">
        <v>34</v>
      </c>
      <c r="B39" s="36">
        <v>45906</v>
      </c>
      <c r="C39" s="35" t="s">
        <v>258</v>
      </c>
      <c r="D39" s="35">
        <v>15988319515</v>
      </c>
      <c r="E39" s="17" t="s">
        <v>159</v>
      </c>
      <c r="F39" s="35" t="s">
        <v>259</v>
      </c>
      <c r="G39" s="35" t="s">
        <v>260</v>
      </c>
      <c r="H39" s="35" t="s">
        <v>162</v>
      </c>
      <c r="I39" s="35"/>
      <c r="J39" s="35"/>
      <c r="K39" s="35"/>
      <c r="L39" s="35"/>
      <c r="M39" s="35" t="s">
        <v>162</v>
      </c>
      <c r="N39" s="35"/>
      <c r="O39" s="35"/>
      <c r="P39" s="35"/>
      <c r="Q39" s="35" t="s">
        <v>261</v>
      </c>
      <c r="R39" s="35">
        <v>1999</v>
      </c>
      <c r="S39" s="39"/>
      <c r="T39" s="39"/>
      <c r="U39" s="39"/>
      <c r="V39" s="39"/>
      <c r="W39" s="35"/>
    </row>
    <row r="40" ht="20" customHeight="1" spans="1:23">
      <c r="A40" s="35">
        <v>35</v>
      </c>
      <c r="B40" s="36">
        <v>45910</v>
      </c>
      <c r="C40" s="35" t="s">
        <v>262</v>
      </c>
      <c r="D40" s="35">
        <v>15869128655</v>
      </c>
      <c r="E40" s="35" t="s">
        <v>168</v>
      </c>
      <c r="F40" s="35" t="s">
        <v>189</v>
      </c>
      <c r="G40" s="35" t="s">
        <v>177</v>
      </c>
      <c r="H40" s="35" t="s">
        <v>162</v>
      </c>
      <c r="I40" s="51" t="s">
        <v>263</v>
      </c>
      <c r="J40" s="56">
        <v>45912.7569444444</v>
      </c>
      <c r="K40" s="35" t="s">
        <v>171</v>
      </c>
      <c r="L40" s="35" t="s">
        <v>264</v>
      </c>
      <c r="M40" s="35"/>
      <c r="N40" s="35" t="s">
        <v>265</v>
      </c>
      <c r="O40" s="35">
        <v>79</v>
      </c>
      <c r="P40" s="35">
        <v>7681837346</v>
      </c>
      <c r="Q40" s="35"/>
      <c r="R40" s="35"/>
      <c r="S40" s="39"/>
      <c r="T40" s="39"/>
      <c r="U40" s="39"/>
      <c r="V40" s="39"/>
      <c r="W40" s="35"/>
    </row>
    <row r="41" ht="20" customHeight="1" spans="1:23">
      <c r="A41" s="35">
        <v>36</v>
      </c>
      <c r="B41" s="36">
        <v>45910</v>
      </c>
      <c r="C41" s="35" t="s">
        <v>266</v>
      </c>
      <c r="D41" s="35">
        <v>18267905967</v>
      </c>
      <c r="E41" s="35" t="s">
        <v>168</v>
      </c>
      <c r="F41" s="35" t="s">
        <v>189</v>
      </c>
      <c r="G41" s="35" t="s">
        <v>177</v>
      </c>
      <c r="H41" s="35" t="s">
        <v>162</v>
      </c>
      <c r="I41" s="52"/>
      <c r="J41" s="56">
        <v>45912.7569444444</v>
      </c>
      <c r="K41" s="35" t="s">
        <v>171</v>
      </c>
      <c r="L41" s="35" t="s">
        <v>264</v>
      </c>
      <c r="M41" s="35"/>
      <c r="N41" s="35" t="s">
        <v>265</v>
      </c>
      <c r="O41" s="35">
        <v>79</v>
      </c>
      <c r="P41" s="35">
        <v>3145352620</v>
      </c>
      <c r="Q41" s="35"/>
      <c r="R41" s="35"/>
      <c r="S41" s="39"/>
      <c r="T41" s="39"/>
      <c r="U41" s="39"/>
      <c r="V41" s="39"/>
      <c r="W41" s="35"/>
    </row>
    <row r="42" ht="20" customHeight="1" spans="1:23">
      <c r="A42" s="35">
        <v>37</v>
      </c>
      <c r="B42" s="36">
        <v>45911</v>
      </c>
      <c r="C42" s="35" t="s">
        <v>175</v>
      </c>
      <c r="D42" s="35">
        <v>13780049912</v>
      </c>
      <c r="E42" s="35" t="s">
        <v>168</v>
      </c>
      <c r="F42" s="35" t="s">
        <v>267</v>
      </c>
      <c r="G42" s="35" t="s">
        <v>190</v>
      </c>
      <c r="H42" s="35" t="s">
        <v>162</v>
      </c>
      <c r="I42" s="52"/>
      <c r="J42" s="56">
        <v>45914.6041666667</v>
      </c>
      <c r="K42" s="35" t="s">
        <v>196</v>
      </c>
      <c r="L42" s="35" t="s">
        <v>190</v>
      </c>
      <c r="M42" s="35"/>
      <c r="N42" s="35" t="s">
        <v>268</v>
      </c>
      <c r="O42" s="35">
        <v>119</v>
      </c>
      <c r="P42" s="35">
        <v>2213650833</v>
      </c>
      <c r="Q42" s="35"/>
      <c r="R42" s="35"/>
      <c r="S42" s="39"/>
      <c r="T42" s="39"/>
      <c r="U42" s="39"/>
      <c r="V42" s="39"/>
      <c r="W42" s="35"/>
    </row>
    <row r="43" spans="1:23">
      <c r="A43" s="35">
        <v>38</v>
      </c>
      <c r="B43" s="36">
        <v>45913</v>
      </c>
      <c r="C43" s="35" t="s">
        <v>269</v>
      </c>
      <c r="D43" s="35">
        <v>13008934999</v>
      </c>
      <c r="E43" s="35" t="s">
        <v>168</v>
      </c>
      <c r="F43" s="35" t="s">
        <v>189</v>
      </c>
      <c r="G43" s="35" t="s">
        <v>210</v>
      </c>
      <c r="H43" s="35" t="s">
        <v>162</v>
      </c>
      <c r="I43" s="35"/>
      <c r="J43" s="56">
        <v>45914.5833333333</v>
      </c>
      <c r="K43" s="35" t="s">
        <v>163</v>
      </c>
      <c r="L43" s="35" t="s">
        <v>170</v>
      </c>
      <c r="M43" s="35"/>
      <c r="N43" s="35" t="s">
        <v>270</v>
      </c>
      <c r="O43" s="35">
        <v>259</v>
      </c>
      <c r="P43" s="35">
        <v>6800574029</v>
      </c>
      <c r="Q43" s="35"/>
      <c r="R43" s="35"/>
      <c r="S43" s="35"/>
      <c r="T43" s="35"/>
      <c r="U43" s="35"/>
      <c r="V43" s="35"/>
      <c r="W43" s="35"/>
    </row>
    <row r="44" spans="1:23">
      <c r="A44" s="35">
        <v>39</v>
      </c>
      <c r="B44" s="36">
        <v>45914</v>
      </c>
      <c r="C44" s="35" t="s">
        <v>271</v>
      </c>
      <c r="D44" s="35">
        <v>18955652266</v>
      </c>
      <c r="E44" s="35" t="s">
        <v>168</v>
      </c>
      <c r="F44" s="35" t="s">
        <v>189</v>
      </c>
      <c r="G44" s="35" t="s">
        <v>211</v>
      </c>
      <c r="H44" s="35" t="s">
        <v>162</v>
      </c>
      <c r="I44" s="35"/>
      <c r="J44" s="56">
        <v>45915.6041666667</v>
      </c>
      <c r="K44" s="35" t="s">
        <v>272</v>
      </c>
      <c r="L44" s="35" t="s">
        <v>177</v>
      </c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</row>
    <row r="45" spans="1:23">
      <c r="A45" s="35">
        <v>40</v>
      </c>
      <c r="B45" s="36">
        <v>45915</v>
      </c>
      <c r="C45" s="35" t="s">
        <v>273</v>
      </c>
      <c r="D45" s="35">
        <v>13003762112</v>
      </c>
      <c r="E45" s="35" t="s">
        <v>168</v>
      </c>
      <c r="F45" s="35" t="s">
        <v>189</v>
      </c>
      <c r="G45" s="35" t="s">
        <v>170</v>
      </c>
      <c r="H45" s="35" t="s">
        <v>162</v>
      </c>
      <c r="I45" s="35"/>
      <c r="J45" s="56">
        <v>45916.625</v>
      </c>
      <c r="K45" s="35" t="s">
        <v>163</v>
      </c>
      <c r="L45" s="35" t="s">
        <v>211</v>
      </c>
      <c r="M45" s="35"/>
      <c r="N45" s="35" t="s">
        <v>274</v>
      </c>
      <c r="O45" s="35">
        <v>399</v>
      </c>
      <c r="P45" s="35">
        <v>5516720150</v>
      </c>
      <c r="Q45" s="35"/>
      <c r="R45" s="35"/>
      <c r="S45" s="35"/>
      <c r="T45" s="35"/>
      <c r="U45" s="35"/>
      <c r="V45" s="35"/>
      <c r="W45" s="35"/>
    </row>
    <row r="46" spans="1:23">
      <c r="A46" s="35">
        <v>41</v>
      </c>
      <c r="B46" s="36">
        <v>45916</v>
      </c>
      <c r="C46" s="35" t="s">
        <v>275</v>
      </c>
      <c r="D46" s="35">
        <v>13968236523</v>
      </c>
      <c r="E46" s="35" t="s">
        <v>168</v>
      </c>
      <c r="F46" s="35" t="s">
        <v>189</v>
      </c>
      <c r="G46" s="35" t="s">
        <v>177</v>
      </c>
      <c r="H46" s="35" t="s">
        <v>162</v>
      </c>
      <c r="I46" s="35" t="s">
        <v>276</v>
      </c>
      <c r="J46" s="56">
        <v>45916.8125</v>
      </c>
      <c r="K46" s="35" t="s">
        <v>163</v>
      </c>
      <c r="L46" s="35" t="s">
        <v>170</v>
      </c>
      <c r="M46" s="35"/>
      <c r="N46" s="35" t="s">
        <v>277</v>
      </c>
      <c r="O46" s="35">
        <v>228</v>
      </c>
      <c r="P46" s="35">
        <v>5756551331</v>
      </c>
      <c r="Q46" s="35"/>
      <c r="R46" s="35"/>
      <c r="S46" s="35"/>
      <c r="T46" s="35"/>
      <c r="U46" s="35"/>
      <c r="V46" s="35"/>
      <c r="W46" s="35"/>
    </row>
    <row r="47" spans="1:23">
      <c r="A47" s="35">
        <v>43</v>
      </c>
      <c r="B47" s="36">
        <v>45918</v>
      </c>
      <c r="C47" s="35"/>
      <c r="D47" s="35"/>
      <c r="E47" s="35" t="s">
        <v>168</v>
      </c>
      <c r="F47" s="35" t="s">
        <v>278</v>
      </c>
      <c r="G47" s="35" t="s">
        <v>279</v>
      </c>
      <c r="H47" s="35" t="s">
        <v>162</v>
      </c>
      <c r="I47" s="35"/>
      <c r="J47" s="56">
        <v>45918.7569444444</v>
      </c>
      <c r="K47" s="35" t="s">
        <v>196</v>
      </c>
      <c r="L47" s="35" t="s">
        <v>190</v>
      </c>
      <c r="M47" s="35"/>
      <c r="N47" s="35" t="s">
        <v>268</v>
      </c>
      <c r="O47" s="35">
        <v>119</v>
      </c>
      <c r="P47" s="35">
        <v>3179607728</v>
      </c>
      <c r="Q47" s="35"/>
      <c r="R47" s="35"/>
      <c r="S47" s="35"/>
      <c r="T47" s="35"/>
      <c r="U47" s="35"/>
      <c r="V47" s="35"/>
      <c r="W47" s="35"/>
    </row>
    <row r="48" spans="1:23">
      <c r="A48" s="35">
        <v>44</v>
      </c>
      <c r="B48" s="36">
        <v>45918</v>
      </c>
      <c r="C48" s="35" t="s">
        <v>280</v>
      </c>
      <c r="D48" s="35">
        <v>19165454475</v>
      </c>
      <c r="E48" s="35" t="s">
        <v>195</v>
      </c>
      <c r="F48" s="35" t="s">
        <v>169</v>
      </c>
      <c r="G48" s="35" t="s">
        <v>190</v>
      </c>
      <c r="H48" s="35" t="s">
        <v>162</v>
      </c>
      <c r="I48" s="35"/>
      <c r="J48" s="56">
        <v>45919.6666666667</v>
      </c>
      <c r="K48" s="35" t="s">
        <v>163</v>
      </c>
      <c r="L48" s="35" t="s">
        <v>210</v>
      </c>
      <c r="M48" s="35" t="s">
        <v>162</v>
      </c>
      <c r="N48" s="35" t="s">
        <v>281</v>
      </c>
      <c r="O48" s="35">
        <v>259</v>
      </c>
      <c r="P48" s="121" t="s">
        <v>282</v>
      </c>
      <c r="Q48" s="35" t="s">
        <v>283</v>
      </c>
      <c r="R48" s="35">
        <v>1946</v>
      </c>
      <c r="S48" s="35"/>
      <c r="T48" s="35"/>
      <c r="U48" s="35"/>
      <c r="V48" s="35"/>
      <c r="W48" s="35"/>
    </row>
    <row r="49" spans="1:23">
      <c r="A49" s="35">
        <v>45</v>
      </c>
      <c r="B49" s="36">
        <v>45923</v>
      </c>
      <c r="C49" s="35" t="s">
        <v>284</v>
      </c>
      <c r="D49" s="35">
        <v>13819815500</v>
      </c>
      <c r="E49" s="35" t="s">
        <v>168</v>
      </c>
      <c r="F49" s="35" t="s">
        <v>253</v>
      </c>
      <c r="G49" s="35" t="s">
        <v>210</v>
      </c>
      <c r="H49" s="35" t="s">
        <v>162</v>
      </c>
      <c r="I49" s="35"/>
      <c r="J49" s="56">
        <v>45925.8125</v>
      </c>
      <c r="K49" s="35" t="s">
        <v>178</v>
      </c>
      <c r="L49" s="35" t="s">
        <v>177</v>
      </c>
      <c r="M49" s="35"/>
      <c r="N49" s="35" t="s">
        <v>285</v>
      </c>
      <c r="O49" s="35">
        <v>89</v>
      </c>
      <c r="P49" s="35"/>
      <c r="Q49" s="35"/>
      <c r="R49" s="35"/>
      <c r="S49" s="35"/>
      <c r="T49" s="35"/>
      <c r="U49" s="35"/>
      <c r="V49" s="35"/>
      <c r="W49" s="35"/>
    </row>
    <row r="50" spans="1:23">
      <c r="A50" s="35">
        <v>46</v>
      </c>
      <c r="B50" s="36"/>
      <c r="C50" s="35"/>
      <c r="D50" s="35"/>
      <c r="E50" s="35"/>
      <c r="F50" s="35"/>
      <c r="G50" s="35" t="s">
        <v>211</v>
      </c>
      <c r="H50" s="35"/>
      <c r="I50" s="35" t="s">
        <v>251</v>
      </c>
      <c r="J50" s="56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</row>
    <row r="51" spans="1:23">
      <c r="A51" s="35">
        <v>47</v>
      </c>
      <c r="B51" s="36">
        <v>45923</v>
      </c>
      <c r="C51" s="35" t="s">
        <v>286</v>
      </c>
      <c r="D51" s="35">
        <v>18817580764</v>
      </c>
      <c r="E51" s="35" t="s">
        <v>168</v>
      </c>
      <c r="F51" s="35" t="s">
        <v>189</v>
      </c>
      <c r="G51" s="35" t="s">
        <v>170</v>
      </c>
      <c r="H51" s="35" t="s">
        <v>162</v>
      </c>
      <c r="I51" s="35"/>
      <c r="J51" s="56">
        <v>45923.5</v>
      </c>
      <c r="K51" s="35" t="s">
        <v>287</v>
      </c>
      <c r="L51" s="35" t="s">
        <v>170</v>
      </c>
      <c r="M51" s="35"/>
      <c r="N51" s="35" t="s">
        <v>285</v>
      </c>
      <c r="O51" s="35">
        <v>89</v>
      </c>
      <c r="P51" s="35">
        <v>6036991926</v>
      </c>
      <c r="Q51" s="35"/>
      <c r="R51" s="35"/>
      <c r="S51" s="35"/>
      <c r="T51" s="35"/>
      <c r="U51" s="35"/>
      <c r="V51" s="35"/>
      <c r="W51" s="35"/>
    </row>
    <row r="52" ht="47.25" spans="1:23">
      <c r="A52" s="35">
        <v>48</v>
      </c>
      <c r="B52" s="36">
        <v>45929</v>
      </c>
      <c r="C52" s="35" t="s">
        <v>288</v>
      </c>
      <c r="D52" s="35">
        <v>18300237997</v>
      </c>
      <c r="E52" s="35" t="s">
        <v>168</v>
      </c>
      <c r="F52" s="35" t="s">
        <v>189</v>
      </c>
      <c r="G52" s="35" t="s">
        <v>177</v>
      </c>
      <c r="H52" s="35" t="s">
        <v>162</v>
      </c>
      <c r="I52" s="35"/>
      <c r="J52" s="56">
        <v>45929.6041666667</v>
      </c>
      <c r="K52" s="35" t="s">
        <v>289</v>
      </c>
      <c r="L52" s="35" t="s">
        <v>210</v>
      </c>
      <c r="M52" s="35"/>
      <c r="N52" s="35" t="s">
        <v>285</v>
      </c>
      <c r="O52" s="35">
        <v>89</v>
      </c>
      <c r="P52" s="38" t="s">
        <v>290</v>
      </c>
      <c r="Q52" s="35"/>
      <c r="R52" s="35"/>
      <c r="S52" s="35"/>
      <c r="T52" s="35"/>
      <c r="U52" s="35"/>
      <c r="V52" s="35"/>
      <c r="W52" s="35"/>
    </row>
    <row r="53" spans="1:23">
      <c r="A53" s="35">
        <v>49</v>
      </c>
      <c r="B53" s="36">
        <v>45929</v>
      </c>
      <c r="C53" s="35" t="s">
        <v>291</v>
      </c>
      <c r="D53" s="35">
        <v>15757823469</v>
      </c>
      <c r="E53" s="35" t="s">
        <v>168</v>
      </c>
      <c r="F53" s="35" t="s">
        <v>189</v>
      </c>
      <c r="G53" s="51" t="s">
        <v>190</v>
      </c>
      <c r="H53" s="35" t="s">
        <v>162</v>
      </c>
      <c r="I53" s="51" t="s">
        <v>263</v>
      </c>
      <c r="J53" s="56">
        <v>45934.6041666667</v>
      </c>
      <c r="K53" s="35" t="s">
        <v>196</v>
      </c>
      <c r="L53" s="35" t="s">
        <v>190</v>
      </c>
      <c r="M53" s="35"/>
      <c r="N53" s="35" t="s">
        <v>268</v>
      </c>
      <c r="O53" s="35">
        <v>119</v>
      </c>
      <c r="P53" s="35">
        <v>1824893851</v>
      </c>
      <c r="Q53" s="35"/>
      <c r="R53" s="35"/>
      <c r="S53" s="35"/>
      <c r="T53" s="35"/>
      <c r="U53" s="35"/>
      <c r="V53" s="35"/>
      <c r="W53" s="35"/>
    </row>
    <row r="54" spans="1:23">
      <c r="A54" s="35">
        <v>50</v>
      </c>
      <c r="B54" s="36">
        <v>45929</v>
      </c>
      <c r="C54" s="35" t="s">
        <v>292</v>
      </c>
      <c r="D54" s="35">
        <v>13567491894</v>
      </c>
      <c r="E54" s="35" t="s">
        <v>168</v>
      </c>
      <c r="F54" s="35" t="s">
        <v>189</v>
      </c>
      <c r="G54" s="66"/>
      <c r="H54" s="35" t="s">
        <v>162</v>
      </c>
      <c r="I54" s="66"/>
      <c r="J54" s="56">
        <v>45934.6041666667</v>
      </c>
      <c r="K54" s="35" t="s">
        <v>196</v>
      </c>
      <c r="L54" s="35" t="s">
        <v>190</v>
      </c>
      <c r="M54" s="35"/>
      <c r="N54" s="35" t="s">
        <v>268</v>
      </c>
      <c r="O54" s="35">
        <v>119</v>
      </c>
      <c r="P54" s="35">
        <v>1405856810</v>
      </c>
      <c r="Q54" s="35"/>
      <c r="R54" s="35"/>
      <c r="S54" s="35"/>
      <c r="T54" s="35"/>
      <c r="U54" s="35"/>
      <c r="V54" s="35"/>
      <c r="W54" s="35"/>
    </row>
    <row r="55" spans="1:23">
      <c r="A55" s="35">
        <v>51</v>
      </c>
      <c r="B55" s="36">
        <v>45929</v>
      </c>
      <c r="C55" s="35" t="s">
        <v>293</v>
      </c>
      <c r="D55" s="35">
        <v>13567491854</v>
      </c>
      <c r="E55" s="35" t="s">
        <v>168</v>
      </c>
      <c r="F55" s="35" t="s">
        <v>189</v>
      </c>
      <c r="G55" s="52"/>
      <c r="H55" s="35" t="s">
        <v>162</v>
      </c>
      <c r="I55" s="52"/>
      <c r="J55" s="56">
        <v>45934.6041666667</v>
      </c>
      <c r="K55" s="35" t="s">
        <v>196</v>
      </c>
      <c r="L55" s="35" t="s">
        <v>190</v>
      </c>
      <c r="M55" s="35"/>
      <c r="N55" s="35" t="s">
        <v>268</v>
      </c>
      <c r="O55" s="35">
        <v>119</v>
      </c>
      <c r="P55" s="35">
        <v>2348484206</v>
      </c>
      <c r="Q55" s="35"/>
      <c r="R55" s="35"/>
      <c r="S55" s="35"/>
      <c r="T55" s="35"/>
      <c r="U55" s="35"/>
      <c r="V55" s="35"/>
      <c r="W55" s="35"/>
    </row>
    <row r="56" spans="1:23">
      <c r="A56" s="35">
        <v>52</v>
      </c>
      <c r="B56" s="36">
        <v>45930</v>
      </c>
      <c r="C56" s="35" t="s">
        <v>294</v>
      </c>
      <c r="D56" s="35">
        <v>18757423383</v>
      </c>
      <c r="E56" s="35" t="s">
        <v>295</v>
      </c>
      <c r="F56" s="35" t="s">
        <v>189</v>
      </c>
      <c r="G56" s="35" t="s">
        <v>210</v>
      </c>
      <c r="H56" s="35" t="s">
        <v>162</v>
      </c>
      <c r="I56" s="35"/>
      <c r="J56" s="56">
        <v>45931.4166666667</v>
      </c>
      <c r="K56" s="35" t="s">
        <v>296</v>
      </c>
      <c r="L56" s="35" t="s">
        <v>211</v>
      </c>
      <c r="M56" s="35" t="s">
        <v>162</v>
      </c>
      <c r="N56" s="35" t="s">
        <v>281</v>
      </c>
      <c r="O56" s="35">
        <v>259</v>
      </c>
      <c r="P56" s="35">
        <v>8318501285</v>
      </c>
      <c r="Q56" s="35" t="s">
        <v>297</v>
      </c>
      <c r="R56" s="35">
        <f>7946+24000</f>
        <v>31946</v>
      </c>
      <c r="S56" s="35"/>
      <c r="T56" s="35"/>
      <c r="U56" s="35"/>
      <c r="V56" s="35"/>
      <c r="W56" s="35"/>
    </row>
    <row r="57" s="76" customFormat="1" spans="1:23">
      <c r="A57" s="46">
        <v>53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</row>
    <row r="58" spans="1:23">
      <c r="A58" s="35">
        <v>54</v>
      </c>
      <c r="B58" s="36">
        <v>45931</v>
      </c>
      <c r="C58" s="35" t="s">
        <v>298</v>
      </c>
      <c r="D58" s="35">
        <v>18958281087</v>
      </c>
      <c r="E58" s="35" t="s">
        <v>168</v>
      </c>
      <c r="F58" s="35" t="s">
        <v>189</v>
      </c>
      <c r="G58" s="35" t="s">
        <v>211</v>
      </c>
      <c r="H58" s="35" t="s">
        <v>162</v>
      </c>
      <c r="I58" s="35"/>
      <c r="J58" s="56">
        <v>45932.6875</v>
      </c>
      <c r="K58" s="35" t="s">
        <v>299</v>
      </c>
      <c r="L58" s="35" t="s">
        <v>300</v>
      </c>
      <c r="M58" s="35"/>
      <c r="N58" s="35" t="s">
        <v>301</v>
      </c>
      <c r="O58" s="35">
        <v>69</v>
      </c>
      <c r="P58" s="35">
        <v>9408108286</v>
      </c>
      <c r="Q58" s="35"/>
      <c r="R58" s="35"/>
      <c r="S58" s="35"/>
      <c r="T58" s="35"/>
      <c r="U58" s="35"/>
      <c r="V58" s="35"/>
      <c r="W58" s="35"/>
    </row>
    <row r="59" spans="1:23">
      <c r="A59" s="35">
        <v>55</v>
      </c>
      <c r="B59" s="35"/>
      <c r="C59" s="35"/>
      <c r="D59" s="35"/>
      <c r="E59" s="35"/>
      <c r="F59" s="35"/>
      <c r="G59" s="35" t="s">
        <v>170</v>
      </c>
      <c r="H59" s="35"/>
      <c r="I59" s="35" t="s">
        <v>251</v>
      </c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</row>
    <row r="60" spans="1:23">
      <c r="A60" s="35">
        <v>56</v>
      </c>
      <c r="B60" s="36">
        <v>45931</v>
      </c>
      <c r="C60" s="35" t="s">
        <v>302</v>
      </c>
      <c r="D60" s="35">
        <v>15088710528</v>
      </c>
      <c r="E60" s="35" t="s">
        <v>168</v>
      </c>
      <c r="F60" s="35" t="s">
        <v>189</v>
      </c>
      <c r="G60" s="35" t="s">
        <v>177</v>
      </c>
      <c r="H60" s="35" t="s">
        <v>162</v>
      </c>
      <c r="I60" s="51" t="s">
        <v>263</v>
      </c>
      <c r="J60" s="56">
        <v>45932.6875</v>
      </c>
      <c r="K60" s="35" t="s">
        <v>299</v>
      </c>
      <c r="L60" s="35" t="s">
        <v>300</v>
      </c>
      <c r="M60" s="35"/>
      <c r="N60" s="35" t="s">
        <v>285</v>
      </c>
      <c r="O60" s="35">
        <v>89</v>
      </c>
      <c r="P60" s="35">
        <v>7686420631</v>
      </c>
      <c r="Q60" s="35"/>
      <c r="R60" s="35"/>
      <c r="S60" s="35"/>
      <c r="T60" s="35"/>
      <c r="U60" s="35"/>
      <c r="V60" s="35"/>
      <c r="W60" s="35"/>
    </row>
    <row r="61" spans="1:23">
      <c r="A61" s="35">
        <v>57</v>
      </c>
      <c r="B61" s="36">
        <v>45931</v>
      </c>
      <c r="C61" s="35" t="s">
        <v>303</v>
      </c>
      <c r="D61" s="35">
        <v>13957190581</v>
      </c>
      <c r="E61" s="35" t="s">
        <v>168</v>
      </c>
      <c r="F61" s="35" t="s">
        <v>189</v>
      </c>
      <c r="G61" s="35" t="s">
        <v>177</v>
      </c>
      <c r="H61" s="35" t="s">
        <v>162</v>
      </c>
      <c r="I61" s="52"/>
      <c r="J61" s="56">
        <v>45932.6875</v>
      </c>
      <c r="K61" s="35" t="s">
        <v>299</v>
      </c>
      <c r="L61" s="35" t="s">
        <v>300</v>
      </c>
      <c r="M61" s="35"/>
      <c r="N61" s="35" t="s">
        <v>285</v>
      </c>
      <c r="O61" s="35">
        <v>89</v>
      </c>
      <c r="P61" s="121" t="s">
        <v>304</v>
      </c>
      <c r="Q61" s="35"/>
      <c r="R61" s="35"/>
      <c r="S61" s="35"/>
      <c r="T61" s="35"/>
      <c r="U61" s="35"/>
      <c r="V61" s="35"/>
      <c r="W61" s="35"/>
    </row>
    <row r="62" spans="1:23">
      <c r="A62" s="35">
        <v>58</v>
      </c>
      <c r="B62" s="36">
        <v>45932</v>
      </c>
      <c r="C62" s="35" t="s">
        <v>305</v>
      </c>
      <c r="D62" s="35">
        <v>18963643162</v>
      </c>
      <c r="E62" s="35" t="s">
        <v>168</v>
      </c>
      <c r="F62" s="35" t="s">
        <v>189</v>
      </c>
      <c r="G62" s="35" t="s">
        <v>190</v>
      </c>
      <c r="H62" s="35" t="s">
        <v>162</v>
      </c>
      <c r="I62" s="35"/>
      <c r="J62" s="56">
        <v>45934.6875</v>
      </c>
      <c r="K62" s="35" t="s">
        <v>171</v>
      </c>
      <c r="L62" s="35" t="s">
        <v>210</v>
      </c>
      <c r="M62" s="35" t="s">
        <v>162</v>
      </c>
      <c r="N62" s="35" t="s">
        <v>203</v>
      </c>
      <c r="O62" s="35">
        <v>79</v>
      </c>
      <c r="P62" s="35">
        <v>1425462658</v>
      </c>
      <c r="Q62" s="35" t="s">
        <v>306</v>
      </c>
      <c r="R62" s="35" t="s">
        <v>307</v>
      </c>
      <c r="S62" s="35"/>
      <c r="T62" s="35"/>
      <c r="U62" s="35"/>
      <c r="V62" s="35"/>
      <c r="W62" s="35"/>
    </row>
    <row r="63" spans="1:23">
      <c r="A63" s="35">
        <v>59</v>
      </c>
      <c r="B63" s="36">
        <v>45933</v>
      </c>
      <c r="C63" s="35" t="s">
        <v>308</v>
      </c>
      <c r="D63" s="35">
        <v>17858446602</v>
      </c>
      <c r="E63" s="35" t="s">
        <v>168</v>
      </c>
      <c r="F63" s="35" t="s">
        <v>189</v>
      </c>
      <c r="G63" s="35" t="s">
        <v>210</v>
      </c>
      <c r="H63" s="35" t="s">
        <v>162</v>
      </c>
      <c r="I63" s="35"/>
      <c r="J63" s="56">
        <v>45933.6041666667</v>
      </c>
      <c r="K63" s="35" t="s">
        <v>309</v>
      </c>
      <c r="L63" s="35" t="s">
        <v>210</v>
      </c>
      <c r="M63" s="35"/>
      <c r="N63" s="35" t="s">
        <v>301</v>
      </c>
      <c r="O63" s="35">
        <v>69</v>
      </c>
      <c r="P63" s="35">
        <v>8710291918</v>
      </c>
      <c r="Q63" s="35"/>
      <c r="R63" s="35"/>
      <c r="S63" s="35"/>
      <c r="T63" s="35"/>
      <c r="U63" s="35"/>
      <c r="V63" s="35"/>
      <c r="W63" s="35"/>
    </row>
    <row r="64" spans="1:23">
      <c r="A64" s="35">
        <v>60</v>
      </c>
      <c r="B64" s="36">
        <v>45933</v>
      </c>
      <c r="C64" s="35" t="s">
        <v>310</v>
      </c>
      <c r="D64" s="35">
        <v>15670377422</v>
      </c>
      <c r="E64" s="35" t="s">
        <v>168</v>
      </c>
      <c r="F64" s="35" t="s">
        <v>169</v>
      </c>
      <c r="G64" s="35" t="s">
        <v>211</v>
      </c>
      <c r="H64" s="35" t="s">
        <v>162</v>
      </c>
      <c r="I64" s="35"/>
      <c r="J64" s="56">
        <v>45933.75</v>
      </c>
      <c r="K64" s="35" t="s">
        <v>311</v>
      </c>
      <c r="L64" s="35" t="s">
        <v>264</v>
      </c>
      <c r="M64" s="35"/>
      <c r="N64" s="35" t="s">
        <v>312</v>
      </c>
      <c r="O64" s="35">
        <v>89</v>
      </c>
      <c r="P64" s="121" t="s">
        <v>313</v>
      </c>
      <c r="Q64" s="35"/>
      <c r="R64" s="35"/>
      <c r="S64" s="35"/>
      <c r="T64" s="35"/>
      <c r="U64" s="35"/>
      <c r="V64" s="35"/>
      <c r="W64" s="35"/>
    </row>
    <row r="65" spans="1:23">
      <c r="A65" s="35">
        <v>61</v>
      </c>
      <c r="B65" s="36">
        <v>45934</v>
      </c>
      <c r="C65" s="35" t="s">
        <v>314</v>
      </c>
      <c r="D65" s="35">
        <v>15397219171</v>
      </c>
      <c r="E65" s="35" t="s">
        <v>315</v>
      </c>
      <c r="F65" s="35" t="s">
        <v>189</v>
      </c>
      <c r="G65" s="35"/>
      <c r="H65" s="35" t="s">
        <v>200</v>
      </c>
      <c r="I65" s="51"/>
      <c r="J65" s="56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</row>
    <row r="66" spans="1:23">
      <c r="A66" s="35">
        <v>62</v>
      </c>
      <c r="B66" s="36">
        <v>45934</v>
      </c>
      <c r="C66" s="35" t="s">
        <v>316</v>
      </c>
      <c r="D66" s="35">
        <v>15241116869</v>
      </c>
      <c r="E66" s="35" t="s">
        <v>315</v>
      </c>
      <c r="F66" s="35" t="s">
        <v>267</v>
      </c>
      <c r="G66" s="35"/>
      <c r="H66" s="35" t="s">
        <v>200</v>
      </c>
      <c r="I66" s="51"/>
      <c r="J66" s="56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</row>
    <row r="67" spans="1:23">
      <c r="A67" s="35">
        <v>63</v>
      </c>
      <c r="B67" s="36">
        <v>45935</v>
      </c>
      <c r="C67" s="35" t="s">
        <v>317</v>
      </c>
      <c r="D67" s="35">
        <v>15924300176</v>
      </c>
      <c r="E67" s="35" t="s">
        <v>168</v>
      </c>
      <c r="F67" s="35" t="s">
        <v>189</v>
      </c>
      <c r="G67" s="35" t="s">
        <v>190</v>
      </c>
      <c r="H67" s="35" t="s">
        <v>162</v>
      </c>
      <c r="I67" s="51" t="s">
        <v>318</v>
      </c>
      <c r="J67" s="56">
        <v>45937.6875</v>
      </c>
      <c r="K67" s="35" t="s">
        <v>171</v>
      </c>
      <c r="L67" s="35" t="s">
        <v>300</v>
      </c>
      <c r="M67" s="35"/>
      <c r="N67" s="35" t="s">
        <v>203</v>
      </c>
      <c r="O67" s="35">
        <v>79</v>
      </c>
      <c r="P67" s="35">
        <v>2317718621</v>
      </c>
      <c r="Q67" s="35"/>
      <c r="R67" s="35"/>
      <c r="S67" s="35"/>
      <c r="T67" s="35"/>
      <c r="U67" s="35"/>
      <c r="V67" s="35"/>
      <c r="W67" s="35"/>
    </row>
    <row r="68" spans="1:23">
      <c r="A68" s="35">
        <v>64</v>
      </c>
      <c r="B68" s="36">
        <v>45935</v>
      </c>
      <c r="C68" s="35" t="s">
        <v>319</v>
      </c>
      <c r="D68" s="35">
        <v>18067312828</v>
      </c>
      <c r="E68" s="35" t="s">
        <v>168</v>
      </c>
      <c r="F68" s="35" t="s">
        <v>189</v>
      </c>
      <c r="G68" s="35" t="s">
        <v>190</v>
      </c>
      <c r="H68" s="35" t="s">
        <v>162</v>
      </c>
      <c r="I68" s="52"/>
      <c r="J68" s="56">
        <v>45937.6875</v>
      </c>
      <c r="K68" s="35" t="s">
        <v>171</v>
      </c>
      <c r="L68" s="35" t="s">
        <v>300</v>
      </c>
      <c r="M68" s="35"/>
      <c r="N68" s="35" t="s">
        <v>203</v>
      </c>
      <c r="O68" s="35">
        <v>79</v>
      </c>
      <c r="P68" s="35">
        <v>2881713056</v>
      </c>
      <c r="Q68" s="35"/>
      <c r="R68" s="35"/>
      <c r="S68" s="35"/>
      <c r="T68" s="35"/>
      <c r="U68" s="35"/>
      <c r="V68" s="35"/>
      <c r="W68" s="35"/>
    </row>
    <row r="69" ht="31.5" spans="1:23">
      <c r="A69" s="35">
        <v>65</v>
      </c>
      <c r="B69" s="36">
        <v>45936</v>
      </c>
      <c r="C69" s="35" t="s">
        <v>320</v>
      </c>
      <c r="D69" s="35">
        <v>13705883612</v>
      </c>
      <c r="E69" s="35" t="s">
        <v>168</v>
      </c>
      <c r="F69" s="35" t="s">
        <v>189</v>
      </c>
      <c r="G69" s="35" t="s">
        <v>210</v>
      </c>
      <c r="H69" s="35" t="s">
        <v>162</v>
      </c>
      <c r="I69" s="35" t="s">
        <v>321</v>
      </c>
      <c r="J69" s="56">
        <v>45940.6041666667</v>
      </c>
      <c r="K69" s="35" t="s">
        <v>309</v>
      </c>
      <c r="L69" s="35" t="s">
        <v>210</v>
      </c>
      <c r="M69" s="35" t="s">
        <v>162</v>
      </c>
      <c r="N69" s="35" t="s">
        <v>285</v>
      </c>
      <c r="O69" s="35">
        <v>89</v>
      </c>
      <c r="P69" s="35">
        <v>4234168103</v>
      </c>
      <c r="Q69" s="77" t="s">
        <v>322</v>
      </c>
      <c r="R69" s="35" t="s">
        <v>323</v>
      </c>
      <c r="S69" s="35"/>
      <c r="T69" s="35"/>
      <c r="U69" s="35"/>
      <c r="V69" s="35"/>
      <c r="W69" s="35"/>
    </row>
    <row r="70" spans="1:23">
      <c r="A70" s="35">
        <v>66</v>
      </c>
      <c r="B70" s="36">
        <v>45940</v>
      </c>
      <c r="C70" s="35" t="s">
        <v>324</v>
      </c>
      <c r="D70" s="35"/>
      <c r="E70" s="35" t="s">
        <v>168</v>
      </c>
      <c r="F70" s="35" t="s">
        <v>189</v>
      </c>
      <c r="G70" s="35"/>
      <c r="H70" s="35" t="s">
        <v>200</v>
      </c>
      <c r="I70" s="35"/>
      <c r="J70" s="56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</row>
    <row r="71" spans="1:23">
      <c r="A71" s="35">
        <v>67</v>
      </c>
      <c r="B71" s="36">
        <v>45941</v>
      </c>
      <c r="C71" s="35" t="s">
        <v>325</v>
      </c>
      <c r="D71" s="35">
        <v>18267566420</v>
      </c>
      <c r="E71" s="35" t="s">
        <v>168</v>
      </c>
      <c r="F71" s="35" t="s">
        <v>189</v>
      </c>
      <c r="G71" s="35"/>
      <c r="H71" s="35" t="s">
        <v>200</v>
      </c>
      <c r="I71" s="35"/>
      <c r="J71" s="56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</row>
    <row r="72" spans="1:23">
      <c r="A72" s="35">
        <v>68</v>
      </c>
      <c r="B72" s="36">
        <v>45941</v>
      </c>
      <c r="C72" s="35" t="s">
        <v>326</v>
      </c>
      <c r="D72" s="35">
        <v>15057407976</v>
      </c>
      <c r="E72" s="35" t="s">
        <v>168</v>
      </c>
      <c r="F72" s="35" t="s">
        <v>189</v>
      </c>
      <c r="G72" s="35"/>
      <c r="H72" s="35" t="s">
        <v>200</v>
      </c>
      <c r="I72" s="35"/>
      <c r="J72" s="56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</row>
    <row r="73" ht="16" customHeight="1" spans="1:23">
      <c r="A73" s="35">
        <v>69</v>
      </c>
      <c r="B73" s="36">
        <v>45941</v>
      </c>
      <c r="C73" s="35" t="s">
        <v>327</v>
      </c>
      <c r="D73" s="35">
        <v>17757461126</v>
      </c>
      <c r="E73" s="35" t="s">
        <v>168</v>
      </c>
      <c r="F73" s="35" t="s">
        <v>189</v>
      </c>
      <c r="G73" s="35" t="s">
        <v>170</v>
      </c>
      <c r="H73" s="35" t="s">
        <v>162</v>
      </c>
      <c r="I73" s="35"/>
      <c r="J73" s="56">
        <v>45941.5625</v>
      </c>
      <c r="K73" s="35" t="s">
        <v>163</v>
      </c>
      <c r="L73" s="35" t="s">
        <v>211</v>
      </c>
      <c r="M73" s="35" t="s">
        <v>162</v>
      </c>
      <c r="N73" s="35" t="s">
        <v>281</v>
      </c>
      <c r="O73" s="35">
        <v>259</v>
      </c>
      <c r="P73" s="35">
        <v>8843568453</v>
      </c>
      <c r="Q73" s="35" t="s">
        <v>328</v>
      </c>
      <c r="R73" s="35">
        <v>6999</v>
      </c>
      <c r="S73" s="35"/>
      <c r="T73" s="35"/>
      <c r="U73" s="35"/>
      <c r="V73" s="35"/>
      <c r="W73" s="35"/>
    </row>
    <row r="74" spans="1:23">
      <c r="A74" s="35">
        <v>70</v>
      </c>
      <c r="B74" s="36">
        <v>45941</v>
      </c>
      <c r="C74" s="35" t="s">
        <v>175</v>
      </c>
      <c r="D74" s="51">
        <v>19532735181</v>
      </c>
      <c r="E74" s="35" t="s">
        <v>168</v>
      </c>
      <c r="F74" s="35" t="s">
        <v>329</v>
      </c>
      <c r="G74" s="35" t="s">
        <v>170</v>
      </c>
      <c r="H74" s="35" t="s">
        <v>162</v>
      </c>
      <c r="I74" s="51" t="s">
        <v>330</v>
      </c>
      <c r="J74" s="56">
        <v>45944.5</v>
      </c>
      <c r="K74" s="35" t="s">
        <v>244</v>
      </c>
      <c r="L74" s="35" t="s">
        <v>172</v>
      </c>
      <c r="M74" s="35"/>
      <c r="N74" s="35" t="s">
        <v>244</v>
      </c>
      <c r="O74" s="35">
        <v>99</v>
      </c>
      <c r="P74" s="35">
        <v>2515157758</v>
      </c>
      <c r="Q74" s="35"/>
      <c r="R74" s="35"/>
      <c r="S74" s="35"/>
      <c r="T74" s="35"/>
      <c r="U74" s="35"/>
      <c r="V74" s="35"/>
      <c r="W74" s="35"/>
    </row>
    <row r="75" spans="1:23">
      <c r="A75" s="35">
        <v>71</v>
      </c>
      <c r="B75" s="36">
        <v>45941</v>
      </c>
      <c r="C75" s="35" t="s">
        <v>331</v>
      </c>
      <c r="D75" s="52"/>
      <c r="E75" s="35" t="s">
        <v>168</v>
      </c>
      <c r="F75" s="35" t="s">
        <v>329</v>
      </c>
      <c r="G75" s="35" t="s">
        <v>170</v>
      </c>
      <c r="H75" s="35" t="s">
        <v>162</v>
      </c>
      <c r="I75" s="52"/>
      <c r="J75" s="56">
        <v>45944.5</v>
      </c>
      <c r="K75" s="35" t="s">
        <v>244</v>
      </c>
      <c r="L75" s="35" t="s">
        <v>172</v>
      </c>
      <c r="M75" s="35"/>
      <c r="N75" s="35" t="s">
        <v>244</v>
      </c>
      <c r="O75" s="35">
        <v>99</v>
      </c>
      <c r="P75" s="35" t="s">
        <v>332</v>
      </c>
      <c r="Q75" s="35"/>
      <c r="R75" s="35"/>
      <c r="S75" s="35"/>
      <c r="T75" s="35"/>
      <c r="U75" s="35"/>
      <c r="V75" s="35"/>
      <c r="W75" s="35"/>
    </row>
    <row r="76" spans="1:23">
      <c r="A76" s="35">
        <v>72</v>
      </c>
      <c r="B76" s="36">
        <v>45942</v>
      </c>
      <c r="C76" s="35" t="s">
        <v>333</v>
      </c>
      <c r="D76" s="35">
        <v>15988610580</v>
      </c>
      <c r="E76" s="35" t="s">
        <v>159</v>
      </c>
      <c r="F76" s="35" t="s">
        <v>189</v>
      </c>
      <c r="G76" s="35" t="s">
        <v>177</v>
      </c>
      <c r="H76" s="35" t="s">
        <v>162</v>
      </c>
      <c r="I76" s="35"/>
      <c r="J76" s="56">
        <v>45944.7569444444</v>
      </c>
      <c r="K76" s="35" t="s">
        <v>334</v>
      </c>
      <c r="L76" s="35" t="s">
        <v>177</v>
      </c>
      <c r="M76" s="35" t="s">
        <v>162</v>
      </c>
      <c r="N76" s="35" t="s">
        <v>335</v>
      </c>
      <c r="O76" s="35">
        <v>69</v>
      </c>
      <c r="P76" s="35">
        <v>5157807396</v>
      </c>
      <c r="Q76" s="35" t="s">
        <v>336</v>
      </c>
      <c r="R76" s="35" t="s">
        <v>337</v>
      </c>
      <c r="S76" s="35"/>
      <c r="T76" s="35"/>
      <c r="U76" s="35"/>
      <c r="V76" s="35"/>
      <c r="W76" s="35"/>
    </row>
    <row r="77" spans="1:23">
      <c r="A77" s="35">
        <v>73</v>
      </c>
      <c r="B77" s="36">
        <v>45943</v>
      </c>
      <c r="C77" s="35" t="s">
        <v>338</v>
      </c>
      <c r="D77" s="35">
        <v>18205848200</v>
      </c>
      <c r="E77" s="35" t="s">
        <v>339</v>
      </c>
      <c r="F77" s="35" t="s">
        <v>267</v>
      </c>
      <c r="G77" s="35"/>
      <c r="H77" s="35" t="s">
        <v>200</v>
      </c>
      <c r="I77" s="35"/>
      <c r="J77" s="56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</row>
    <row r="78" spans="1:23">
      <c r="A78" s="35">
        <v>74</v>
      </c>
      <c r="B78" s="36">
        <v>45943</v>
      </c>
      <c r="C78" s="35" t="s">
        <v>340</v>
      </c>
      <c r="D78" s="35">
        <v>13866327270</v>
      </c>
      <c r="E78" s="35" t="s">
        <v>168</v>
      </c>
      <c r="F78" s="35" t="s">
        <v>278</v>
      </c>
      <c r="G78" s="35" t="s">
        <v>190</v>
      </c>
      <c r="H78" s="35" t="s">
        <v>162</v>
      </c>
      <c r="I78" s="35"/>
      <c r="J78" s="56">
        <v>45944.7569444444</v>
      </c>
      <c r="K78" s="35" t="s">
        <v>334</v>
      </c>
      <c r="L78" s="35" t="s">
        <v>177</v>
      </c>
      <c r="M78" s="35"/>
      <c r="N78" s="35" t="s">
        <v>335</v>
      </c>
      <c r="O78" s="35">
        <v>69</v>
      </c>
      <c r="P78" s="35">
        <v>4244487761</v>
      </c>
      <c r="Q78" s="35"/>
      <c r="R78" s="35"/>
      <c r="S78" s="35"/>
      <c r="T78" s="35"/>
      <c r="U78" s="35"/>
      <c r="V78" s="35"/>
      <c r="W78" s="35"/>
    </row>
    <row r="79" spans="1:23">
      <c r="A79" s="35">
        <v>75</v>
      </c>
      <c r="B79" s="36">
        <v>45944</v>
      </c>
      <c r="C79" s="35" t="s">
        <v>341</v>
      </c>
      <c r="D79" s="35">
        <v>18297376274</v>
      </c>
      <c r="E79" s="35" t="s">
        <v>168</v>
      </c>
      <c r="F79" s="35" t="s">
        <v>189</v>
      </c>
      <c r="G79" s="35" t="s">
        <v>210</v>
      </c>
      <c r="H79" s="35" t="s">
        <v>162</v>
      </c>
      <c r="I79" s="35"/>
      <c r="J79" s="56">
        <v>45945.8020833333</v>
      </c>
      <c r="K79" s="35" t="s">
        <v>342</v>
      </c>
      <c r="L79" s="35" t="s">
        <v>343</v>
      </c>
      <c r="M79" s="35"/>
      <c r="N79" s="35" t="s">
        <v>335</v>
      </c>
      <c r="O79" s="35">
        <v>69</v>
      </c>
      <c r="P79" s="35">
        <v>1691221662</v>
      </c>
      <c r="Q79" s="35"/>
      <c r="R79" s="35"/>
      <c r="S79" s="35"/>
      <c r="T79" s="35"/>
      <c r="U79" s="35"/>
      <c r="V79" s="35"/>
      <c r="W79" s="35"/>
    </row>
    <row r="80" spans="1:23">
      <c r="A80" s="35">
        <v>76</v>
      </c>
      <c r="B80" s="36">
        <v>45945</v>
      </c>
      <c r="C80" s="35" t="s">
        <v>344</v>
      </c>
      <c r="D80" s="35">
        <v>13895005230</v>
      </c>
      <c r="E80" s="35" t="s">
        <v>315</v>
      </c>
      <c r="F80" s="35" t="s">
        <v>267</v>
      </c>
      <c r="G80" s="35"/>
      <c r="H80" s="35" t="s">
        <v>200</v>
      </c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</row>
    <row r="81" spans="1:23">
      <c r="A81" s="35">
        <v>77</v>
      </c>
      <c r="B81" s="36">
        <v>45946</v>
      </c>
      <c r="C81" s="35" t="s">
        <v>345</v>
      </c>
      <c r="D81" s="35">
        <v>18368420682</v>
      </c>
      <c r="E81" s="35" t="s">
        <v>168</v>
      </c>
      <c r="F81" s="35" t="s">
        <v>189</v>
      </c>
      <c r="G81" s="35"/>
      <c r="H81" s="35" t="s">
        <v>200</v>
      </c>
      <c r="I81" s="35"/>
      <c r="J81" s="56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</row>
    <row r="82" ht="31.5" spans="1:23">
      <c r="A82" s="35">
        <v>78</v>
      </c>
      <c r="B82" s="36">
        <v>45949</v>
      </c>
      <c r="C82" s="35" t="s">
        <v>346</v>
      </c>
      <c r="D82" s="35">
        <v>13306612728</v>
      </c>
      <c r="E82" s="35" t="s">
        <v>168</v>
      </c>
      <c r="F82" s="35" t="s">
        <v>189</v>
      </c>
      <c r="G82" s="35" t="s">
        <v>211</v>
      </c>
      <c r="H82" s="35" t="s">
        <v>162</v>
      </c>
      <c r="I82" s="35"/>
      <c r="J82" s="56">
        <v>45950.8125</v>
      </c>
      <c r="K82" s="35" t="s">
        <v>163</v>
      </c>
      <c r="L82" s="35" t="s">
        <v>170</v>
      </c>
      <c r="M82" s="35" t="s">
        <v>162</v>
      </c>
      <c r="N82" s="35" t="s">
        <v>347</v>
      </c>
      <c r="O82" s="35">
        <v>399</v>
      </c>
      <c r="P82" s="35">
        <v>3351504489</v>
      </c>
      <c r="Q82" s="77" t="s">
        <v>348</v>
      </c>
      <c r="R82" s="35">
        <v>2222</v>
      </c>
      <c r="S82" s="35"/>
      <c r="T82" s="35"/>
      <c r="U82" s="35"/>
      <c r="V82" s="35"/>
      <c r="W82" s="35"/>
    </row>
    <row r="83" spans="1:23">
      <c r="A83" s="35">
        <v>79</v>
      </c>
      <c r="B83" s="36">
        <v>45949</v>
      </c>
      <c r="C83" s="35" t="s">
        <v>349</v>
      </c>
      <c r="D83" s="35">
        <v>13594311435</v>
      </c>
      <c r="E83" s="35" t="s">
        <v>168</v>
      </c>
      <c r="F83" s="35" t="s">
        <v>189</v>
      </c>
      <c r="G83" s="35" t="s">
        <v>170</v>
      </c>
      <c r="H83" s="35" t="s">
        <v>162</v>
      </c>
      <c r="I83" s="35"/>
      <c r="J83" s="56">
        <v>45950.8125</v>
      </c>
      <c r="K83" s="35" t="s">
        <v>272</v>
      </c>
      <c r="L83" s="35" t="s">
        <v>210</v>
      </c>
      <c r="M83" s="35"/>
      <c r="N83" s="35" t="s">
        <v>285</v>
      </c>
      <c r="O83" s="35">
        <v>89</v>
      </c>
      <c r="P83" s="35">
        <v>8482730159</v>
      </c>
      <c r="Q83" s="35"/>
      <c r="R83" s="35"/>
      <c r="S83" s="35"/>
      <c r="T83" s="35"/>
      <c r="U83" s="35"/>
      <c r="V83" s="35"/>
      <c r="W83" s="35"/>
    </row>
    <row r="84" spans="1:23">
      <c r="A84" s="35">
        <v>80</v>
      </c>
      <c r="B84" s="36">
        <v>45950</v>
      </c>
      <c r="C84" s="35" t="s">
        <v>350</v>
      </c>
      <c r="D84" s="35">
        <v>13646687880</v>
      </c>
      <c r="E84" s="35" t="s">
        <v>315</v>
      </c>
      <c r="F84" s="35" t="s">
        <v>267</v>
      </c>
      <c r="G84" s="35" t="s">
        <v>177</v>
      </c>
      <c r="H84" s="35" t="s">
        <v>162</v>
      </c>
      <c r="I84" s="35"/>
      <c r="J84" s="56">
        <v>45953.75</v>
      </c>
      <c r="K84" s="35" t="s">
        <v>196</v>
      </c>
      <c r="L84" s="35" t="s">
        <v>190</v>
      </c>
      <c r="M84" s="35" t="s">
        <v>162</v>
      </c>
      <c r="N84" s="35" t="s">
        <v>268</v>
      </c>
      <c r="O84" s="35">
        <v>119</v>
      </c>
      <c r="P84" s="35">
        <v>5170620609</v>
      </c>
      <c r="Q84" s="35" t="s">
        <v>283</v>
      </c>
      <c r="R84" s="35">
        <v>1946</v>
      </c>
      <c r="S84" s="35"/>
      <c r="T84" s="35"/>
      <c r="U84" s="35"/>
      <c r="V84" s="35"/>
      <c r="W84" s="35"/>
    </row>
    <row r="85" ht="35" customHeight="1" spans="1:23">
      <c r="A85" s="35">
        <v>81</v>
      </c>
      <c r="B85" s="36">
        <v>45950</v>
      </c>
      <c r="C85" s="35" t="s">
        <v>351</v>
      </c>
      <c r="D85" s="35">
        <v>17855886502</v>
      </c>
      <c r="E85" s="35" t="s">
        <v>168</v>
      </c>
      <c r="F85" s="35" t="s">
        <v>169</v>
      </c>
      <c r="G85" s="35" t="s">
        <v>210</v>
      </c>
      <c r="H85" s="35" t="s">
        <v>162</v>
      </c>
      <c r="I85" s="35"/>
      <c r="J85" s="56">
        <v>45951.75</v>
      </c>
      <c r="K85" s="35" t="s">
        <v>296</v>
      </c>
      <c r="L85" s="35" t="s">
        <v>170</v>
      </c>
      <c r="M85" s="35" t="s">
        <v>162</v>
      </c>
      <c r="N85" s="35" t="s">
        <v>274</v>
      </c>
      <c r="O85" s="35">
        <v>399</v>
      </c>
      <c r="P85" s="121" t="s">
        <v>352</v>
      </c>
      <c r="Q85" s="35" t="s">
        <v>353</v>
      </c>
      <c r="R85" s="35">
        <v>6999</v>
      </c>
      <c r="S85" s="35"/>
      <c r="T85" s="35"/>
      <c r="U85" s="35"/>
      <c r="V85" s="35"/>
      <c r="W85" s="35"/>
    </row>
    <row r="86" spans="1:23">
      <c r="A86" s="35">
        <v>82</v>
      </c>
      <c r="B86" s="36">
        <v>45951</v>
      </c>
      <c r="C86" s="35" t="s">
        <v>317</v>
      </c>
      <c r="D86" s="51">
        <v>13586565762</v>
      </c>
      <c r="E86" s="35" t="s">
        <v>315</v>
      </c>
      <c r="F86" s="35" t="s">
        <v>267</v>
      </c>
      <c r="G86" s="35" t="s">
        <v>211</v>
      </c>
      <c r="H86" s="35" t="s">
        <v>162</v>
      </c>
      <c r="I86" s="51" t="s">
        <v>263</v>
      </c>
      <c r="J86" s="35"/>
      <c r="K86" s="35"/>
      <c r="L86" s="35"/>
      <c r="M86" s="35"/>
      <c r="N86" s="51" t="s">
        <v>354</v>
      </c>
      <c r="O86" s="51">
        <v>380</v>
      </c>
      <c r="P86" s="35"/>
      <c r="Q86" s="35"/>
      <c r="R86" s="35"/>
      <c r="S86" s="35"/>
      <c r="T86" s="35"/>
      <c r="U86" s="35"/>
      <c r="V86" s="35"/>
      <c r="W86" s="35"/>
    </row>
    <row r="87" spans="1:23">
      <c r="A87" s="35">
        <v>83</v>
      </c>
      <c r="B87" s="36">
        <v>45951</v>
      </c>
      <c r="C87" s="35" t="s">
        <v>319</v>
      </c>
      <c r="D87" s="52"/>
      <c r="E87" s="35" t="s">
        <v>315</v>
      </c>
      <c r="F87" s="35" t="s">
        <v>267</v>
      </c>
      <c r="G87" s="35" t="s">
        <v>211</v>
      </c>
      <c r="H87" s="35" t="s">
        <v>162</v>
      </c>
      <c r="I87" s="52"/>
      <c r="J87" s="35"/>
      <c r="K87" s="35"/>
      <c r="L87" s="35"/>
      <c r="M87" s="35"/>
      <c r="N87" s="52"/>
      <c r="O87" s="52"/>
      <c r="P87" s="35"/>
      <c r="Q87" s="35"/>
      <c r="R87" s="35"/>
      <c r="S87" s="35"/>
      <c r="T87" s="35"/>
      <c r="U87" s="35"/>
      <c r="V87" s="35"/>
      <c r="W87" s="35"/>
    </row>
    <row r="88" spans="1:23">
      <c r="A88" s="35">
        <v>84</v>
      </c>
      <c r="B88" s="36">
        <v>45951</v>
      </c>
      <c r="C88" s="35" t="s">
        <v>355</v>
      </c>
      <c r="D88" s="35">
        <v>15824521206</v>
      </c>
      <c r="E88" s="35" t="s">
        <v>315</v>
      </c>
      <c r="F88" s="35" t="s">
        <v>189</v>
      </c>
      <c r="G88" s="35" t="s">
        <v>170</v>
      </c>
      <c r="H88" s="35" t="s">
        <v>162</v>
      </c>
      <c r="I88" s="51" t="s">
        <v>263</v>
      </c>
      <c r="J88" s="56">
        <v>45956.5034722222</v>
      </c>
      <c r="K88" s="35" t="s">
        <v>196</v>
      </c>
      <c r="L88" s="35" t="s">
        <v>190</v>
      </c>
      <c r="M88" s="35"/>
      <c r="N88" s="35" t="s">
        <v>268</v>
      </c>
      <c r="O88" s="35">
        <v>119</v>
      </c>
      <c r="P88" s="35">
        <v>5554267522</v>
      </c>
      <c r="Q88" s="35"/>
      <c r="R88" s="35"/>
      <c r="S88" s="35"/>
      <c r="T88" s="35"/>
      <c r="U88" s="35"/>
      <c r="V88" s="35"/>
      <c r="W88" s="35"/>
    </row>
    <row r="89" spans="1:23">
      <c r="A89" s="35">
        <v>85</v>
      </c>
      <c r="B89" s="36">
        <v>45951</v>
      </c>
      <c r="C89" s="35" t="s">
        <v>356</v>
      </c>
      <c r="D89" s="35">
        <v>15968905598</v>
      </c>
      <c r="E89" s="35" t="s">
        <v>315</v>
      </c>
      <c r="F89" s="35" t="s">
        <v>189</v>
      </c>
      <c r="G89" s="35" t="s">
        <v>170</v>
      </c>
      <c r="H89" s="35" t="s">
        <v>162</v>
      </c>
      <c r="I89" s="66"/>
      <c r="J89" s="56">
        <v>45956.5034722222</v>
      </c>
      <c r="K89" s="35" t="s">
        <v>196</v>
      </c>
      <c r="L89" s="35" t="s">
        <v>190</v>
      </c>
      <c r="M89" s="35" t="s">
        <v>162</v>
      </c>
      <c r="N89" s="35" t="s">
        <v>268</v>
      </c>
      <c r="O89" s="35">
        <v>119</v>
      </c>
      <c r="P89" s="35">
        <v>6885977626</v>
      </c>
      <c r="Q89" s="44" t="s">
        <v>357</v>
      </c>
      <c r="R89" s="51" t="s">
        <v>358</v>
      </c>
      <c r="S89" s="35"/>
      <c r="T89" s="35"/>
      <c r="U89" s="35"/>
      <c r="V89" s="35"/>
      <c r="W89" s="35"/>
    </row>
    <row r="90" spans="1:23">
      <c r="A90" s="35">
        <v>86</v>
      </c>
      <c r="B90" s="36">
        <v>45951</v>
      </c>
      <c r="C90" s="35" t="s">
        <v>359</v>
      </c>
      <c r="D90" s="35">
        <v>13605748085</v>
      </c>
      <c r="E90" s="35" t="s">
        <v>315</v>
      </c>
      <c r="F90" s="35" t="s">
        <v>189</v>
      </c>
      <c r="G90" s="35" t="s">
        <v>170</v>
      </c>
      <c r="H90" s="35" t="s">
        <v>162</v>
      </c>
      <c r="I90" s="52"/>
      <c r="J90" s="56">
        <v>45956.5034722222</v>
      </c>
      <c r="K90" s="35" t="s">
        <v>196</v>
      </c>
      <c r="L90" s="35" t="s">
        <v>190</v>
      </c>
      <c r="M90" s="35" t="s">
        <v>162</v>
      </c>
      <c r="N90" s="35" t="s">
        <v>268</v>
      </c>
      <c r="O90" s="35">
        <v>119</v>
      </c>
      <c r="P90" s="35">
        <v>6223365481</v>
      </c>
      <c r="Q90" s="45"/>
      <c r="R90" s="52"/>
      <c r="S90" s="35"/>
      <c r="T90" s="35"/>
      <c r="U90" s="35"/>
      <c r="V90" s="35"/>
      <c r="W90" s="35"/>
    </row>
    <row r="91" spans="1:23">
      <c r="A91" s="35">
        <v>87</v>
      </c>
      <c r="B91" s="36">
        <v>45952</v>
      </c>
      <c r="C91" s="35" t="s">
        <v>360</v>
      </c>
      <c r="D91" s="35">
        <v>18106678581</v>
      </c>
      <c r="E91" s="35" t="s">
        <v>315</v>
      </c>
      <c r="F91" s="35" t="s">
        <v>267</v>
      </c>
      <c r="G91" s="35" t="s">
        <v>177</v>
      </c>
      <c r="H91" s="35" t="s">
        <v>162</v>
      </c>
      <c r="I91" s="35"/>
      <c r="J91" s="56">
        <v>45956.5034722222</v>
      </c>
      <c r="K91" s="35" t="s">
        <v>196</v>
      </c>
      <c r="L91" s="35" t="s">
        <v>190</v>
      </c>
      <c r="M91" s="35"/>
      <c r="N91" s="35" t="s">
        <v>268</v>
      </c>
      <c r="O91" s="35">
        <v>119</v>
      </c>
      <c r="P91" s="35">
        <v>2535402100</v>
      </c>
      <c r="Q91" s="35"/>
      <c r="R91" s="35"/>
      <c r="S91" s="35"/>
      <c r="T91" s="35"/>
      <c r="U91" s="35"/>
      <c r="V91" s="35"/>
      <c r="W91" s="35"/>
    </row>
    <row r="92" spans="1:23">
      <c r="A92" s="35">
        <v>88</v>
      </c>
      <c r="B92" s="36">
        <v>45952</v>
      </c>
      <c r="C92" s="35" t="s">
        <v>361</v>
      </c>
      <c r="D92" s="35">
        <v>18888646125</v>
      </c>
      <c r="E92" s="35" t="s">
        <v>168</v>
      </c>
      <c r="F92" s="35" t="s">
        <v>169</v>
      </c>
      <c r="G92" s="35" t="s">
        <v>210</v>
      </c>
      <c r="H92" s="35" t="s">
        <v>162</v>
      </c>
      <c r="I92" s="35"/>
      <c r="J92" s="56">
        <v>45952.7708333333</v>
      </c>
      <c r="K92" s="35" t="s">
        <v>171</v>
      </c>
      <c r="L92" s="35" t="s">
        <v>170</v>
      </c>
      <c r="M92" s="35" t="s">
        <v>162</v>
      </c>
      <c r="N92" s="35" t="s">
        <v>362</v>
      </c>
      <c r="O92" s="35" t="s">
        <v>363</v>
      </c>
      <c r="P92" s="121" t="s">
        <v>364</v>
      </c>
      <c r="Q92" s="35"/>
      <c r="R92" s="35"/>
      <c r="S92" s="35"/>
      <c r="T92" s="35"/>
      <c r="U92" s="35"/>
      <c r="V92" s="35"/>
      <c r="W92" s="35"/>
    </row>
    <row r="93" spans="1:23">
      <c r="A93" s="35">
        <v>89</v>
      </c>
      <c r="B93" s="36">
        <v>45953</v>
      </c>
      <c r="C93" s="35" t="s">
        <v>365</v>
      </c>
      <c r="D93" s="35">
        <v>18768563815</v>
      </c>
      <c r="E93" s="35" t="s">
        <v>168</v>
      </c>
      <c r="F93" s="35" t="s">
        <v>189</v>
      </c>
      <c r="G93" s="35" t="s">
        <v>211</v>
      </c>
      <c r="H93" s="35" t="s">
        <v>200</v>
      </c>
      <c r="I93" s="35" t="s">
        <v>366</v>
      </c>
      <c r="J93" s="56">
        <v>45956.5034722222</v>
      </c>
      <c r="K93" s="35" t="s">
        <v>196</v>
      </c>
      <c r="L93" s="35" t="s">
        <v>190</v>
      </c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</row>
    <row r="94" spans="1:23">
      <c r="A94" s="35">
        <v>90</v>
      </c>
      <c r="B94" s="36">
        <v>45956</v>
      </c>
      <c r="C94" s="35" t="s">
        <v>367</v>
      </c>
      <c r="D94" s="35">
        <v>13168767712</v>
      </c>
      <c r="E94" s="35" t="s">
        <v>168</v>
      </c>
      <c r="F94" s="35" t="s">
        <v>253</v>
      </c>
      <c r="G94" s="35" t="s">
        <v>170</v>
      </c>
      <c r="H94" s="35" t="s">
        <v>162</v>
      </c>
      <c r="I94" s="35"/>
      <c r="J94" s="56">
        <v>45956.6875</v>
      </c>
      <c r="K94" s="35" t="s">
        <v>171</v>
      </c>
      <c r="L94" s="35" t="s">
        <v>210</v>
      </c>
      <c r="M94" s="35"/>
      <c r="N94" s="35" t="s">
        <v>249</v>
      </c>
      <c r="O94" s="35">
        <v>199</v>
      </c>
      <c r="P94" s="35">
        <v>10124353931</v>
      </c>
      <c r="Q94" s="35"/>
      <c r="R94" s="35"/>
      <c r="S94" s="35"/>
      <c r="T94" s="35"/>
      <c r="U94" s="35"/>
      <c r="V94" s="35"/>
      <c r="W94" s="35"/>
    </row>
    <row r="95" spans="1:23">
      <c r="A95" s="35">
        <v>91</v>
      </c>
      <c r="B95" s="36">
        <v>45957</v>
      </c>
      <c r="C95" s="35" t="s">
        <v>368</v>
      </c>
      <c r="D95" s="35">
        <v>17280851233</v>
      </c>
      <c r="E95" s="35" t="s">
        <v>168</v>
      </c>
      <c r="F95" s="35" t="s">
        <v>189</v>
      </c>
      <c r="G95" s="35"/>
      <c r="H95" s="35" t="s">
        <v>200</v>
      </c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</row>
    <row r="96" spans="1:23">
      <c r="A96" s="35">
        <v>92</v>
      </c>
      <c r="B96" s="36">
        <v>45958</v>
      </c>
      <c r="C96" s="35" t="s">
        <v>369</v>
      </c>
      <c r="D96" s="35">
        <v>13916375411</v>
      </c>
      <c r="E96" s="35" t="s">
        <v>168</v>
      </c>
      <c r="F96" s="35" t="s">
        <v>189</v>
      </c>
      <c r="G96" s="35" t="s">
        <v>177</v>
      </c>
      <c r="H96" s="35" t="s">
        <v>162</v>
      </c>
      <c r="I96" s="35"/>
      <c r="J96" s="56">
        <v>45959.375</v>
      </c>
      <c r="K96" s="35" t="s">
        <v>370</v>
      </c>
      <c r="L96" s="35" t="s">
        <v>177</v>
      </c>
      <c r="M96" s="35"/>
      <c r="N96" s="35" t="s">
        <v>371</v>
      </c>
      <c r="O96" s="35">
        <v>228</v>
      </c>
      <c r="P96" s="121" t="s">
        <v>372</v>
      </c>
      <c r="Q96" s="35"/>
      <c r="R96" s="35"/>
      <c r="S96" s="35"/>
      <c r="T96" s="35"/>
      <c r="U96" s="35"/>
      <c r="V96" s="35"/>
      <c r="W96" s="35"/>
    </row>
    <row r="97" spans="1:23">
      <c r="A97" s="35">
        <v>93</v>
      </c>
      <c r="B97" s="36">
        <v>45960</v>
      </c>
      <c r="C97" s="35" t="s">
        <v>373</v>
      </c>
      <c r="D97" s="35">
        <v>13336699230</v>
      </c>
      <c r="E97" s="35" t="s">
        <v>168</v>
      </c>
      <c r="F97" s="35" t="s">
        <v>189</v>
      </c>
      <c r="G97" s="35" t="s">
        <v>210</v>
      </c>
      <c r="H97" s="35" t="s">
        <v>162</v>
      </c>
      <c r="I97" s="35"/>
      <c r="J97" s="56">
        <v>45960.8125</v>
      </c>
      <c r="K97" s="35" t="s">
        <v>374</v>
      </c>
      <c r="L97" s="35" t="s">
        <v>170</v>
      </c>
      <c r="M97" s="35"/>
      <c r="N97" s="35" t="s">
        <v>335</v>
      </c>
      <c r="O97" s="35">
        <v>69</v>
      </c>
      <c r="P97" s="35">
        <v>4547961482</v>
      </c>
      <c r="Q97" s="35"/>
      <c r="R97" s="35"/>
      <c r="S97" s="35"/>
      <c r="T97" s="35"/>
      <c r="U97" s="35"/>
      <c r="V97" s="35"/>
      <c r="W97" s="35"/>
    </row>
    <row r="98" spans="1:23">
      <c r="A98" s="35">
        <v>94</v>
      </c>
      <c r="B98" s="36">
        <v>45960</v>
      </c>
      <c r="C98" s="35" t="s">
        <v>375</v>
      </c>
      <c r="D98" s="35"/>
      <c r="E98" s="35" t="s">
        <v>168</v>
      </c>
      <c r="F98" s="35" t="s">
        <v>189</v>
      </c>
      <c r="G98" s="35" t="s">
        <v>210</v>
      </c>
      <c r="H98" s="35" t="s">
        <v>162</v>
      </c>
      <c r="I98" s="35"/>
      <c r="J98" s="56">
        <v>45960.8125</v>
      </c>
      <c r="K98" s="35" t="s">
        <v>374</v>
      </c>
      <c r="L98" s="35" t="s">
        <v>170</v>
      </c>
      <c r="M98" s="35"/>
      <c r="N98" s="35" t="s">
        <v>335</v>
      </c>
      <c r="O98" s="35">
        <v>69</v>
      </c>
      <c r="P98" s="121" t="s">
        <v>376</v>
      </c>
      <c r="Q98" s="35"/>
      <c r="R98" s="35"/>
      <c r="S98" s="35"/>
      <c r="T98" s="35"/>
      <c r="U98" s="35"/>
      <c r="V98" s="35"/>
      <c r="W98" s="35"/>
    </row>
    <row r="99" s="18" customFormat="1" spans="1:23">
      <c r="A99" s="41">
        <v>95</v>
      </c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</row>
    <row r="100" ht="31.5" spans="1:23">
      <c r="A100" s="35">
        <v>96</v>
      </c>
      <c r="B100" s="36">
        <v>45964</v>
      </c>
      <c r="C100" s="35" t="s">
        <v>377</v>
      </c>
      <c r="D100" s="35">
        <v>18272058555</v>
      </c>
      <c r="E100" s="35" t="s">
        <v>168</v>
      </c>
      <c r="F100" s="35" t="s">
        <v>267</v>
      </c>
      <c r="G100" s="35" t="s">
        <v>210</v>
      </c>
      <c r="H100" s="35" t="s">
        <v>162</v>
      </c>
      <c r="I100" s="35" t="s">
        <v>321</v>
      </c>
      <c r="J100" s="56">
        <v>45965.4375</v>
      </c>
      <c r="K100" s="35" t="s">
        <v>296</v>
      </c>
      <c r="L100" s="35" t="s">
        <v>210</v>
      </c>
      <c r="M100" s="35" t="s">
        <v>162</v>
      </c>
      <c r="N100" s="35" t="s">
        <v>281</v>
      </c>
      <c r="O100" s="35">
        <v>259</v>
      </c>
      <c r="P100" s="121" t="s">
        <v>378</v>
      </c>
      <c r="Q100" s="38" t="s">
        <v>379</v>
      </c>
      <c r="R100" s="35">
        <v>10700</v>
      </c>
      <c r="S100" s="35"/>
      <c r="T100" s="35"/>
      <c r="U100" s="35"/>
      <c r="V100" s="35"/>
      <c r="W100" s="35"/>
    </row>
    <row r="101" spans="1:23">
      <c r="A101" s="35">
        <v>97</v>
      </c>
      <c r="B101" s="36">
        <v>45964</v>
      </c>
      <c r="C101" s="35" t="s">
        <v>380</v>
      </c>
      <c r="D101" s="35">
        <v>13034670968</v>
      </c>
      <c r="E101" s="35" t="s">
        <v>315</v>
      </c>
      <c r="F101" s="35" t="s">
        <v>381</v>
      </c>
      <c r="G101" s="35" t="s">
        <v>170</v>
      </c>
      <c r="H101" s="35" t="s">
        <v>162</v>
      </c>
      <c r="I101" s="35" t="s">
        <v>382</v>
      </c>
      <c r="J101" s="56">
        <v>45965.75</v>
      </c>
      <c r="K101" s="35" t="s">
        <v>196</v>
      </c>
      <c r="L101" s="35" t="s">
        <v>190</v>
      </c>
      <c r="M101" s="35"/>
      <c r="N101" s="35" t="s">
        <v>268</v>
      </c>
      <c r="O101" s="35">
        <v>119</v>
      </c>
      <c r="P101" s="35">
        <v>3103847513</v>
      </c>
      <c r="Q101" s="35"/>
      <c r="R101" s="35"/>
      <c r="S101" s="35"/>
      <c r="T101" s="35"/>
      <c r="U101" s="35"/>
      <c r="V101" s="35"/>
      <c r="W101" s="35"/>
    </row>
    <row r="102" ht="47.25" spans="1:23">
      <c r="A102" s="35">
        <v>98</v>
      </c>
      <c r="B102" s="36">
        <v>45968</v>
      </c>
      <c r="C102" s="35" t="s">
        <v>365</v>
      </c>
      <c r="D102" s="35">
        <v>18768563815</v>
      </c>
      <c r="E102" s="35" t="s">
        <v>168</v>
      </c>
      <c r="F102" s="35" t="s">
        <v>189</v>
      </c>
      <c r="G102" s="35" t="s">
        <v>210</v>
      </c>
      <c r="H102" s="35" t="s">
        <v>162</v>
      </c>
      <c r="I102" s="35" t="s">
        <v>383</v>
      </c>
      <c r="J102" s="56">
        <v>45968.8020833333</v>
      </c>
      <c r="K102" s="35" t="s">
        <v>384</v>
      </c>
      <c r="L102" s="35" t="s">
        <v>264</v>
      </c>
      <c r="M102" s="35"/>
      <c r="N102" s="35" t="s">
        <v>249</v>
      </c>
      <c r="O102" s="35">
        <v>199</v>
      </c>
      <c r="P102" s="38" t="s">
        <v>385</v>
      </c>
      <c r="Q102" s="35"/>
      <c r="R102" s="35"/>
      <c r="S102" s="35"/>
      <c r="T102" s="35"/>
      <c r="U102" s="35"/>
      <c r="V102" s="35"/>
      <c r="W102" s="35"/>
    </row>
    <row r="103" spans="1:23">
      <c r="A103" s="35">
        <v>99</v>
      </c>
      <c r="B103" s="36">
        <v>45968</v>
      </c>
      <c r="C103" s="35" t="s">
        <v>386</v>
      </c>
      <c r="D103" s="35">
        <v>18112322813</v>
      </c>
      <c r="E103" s="35" t="s">
        <v>168</v>
      </c>
      <c r="F103" s="35" t="s">
        <v>189</v>
      </c>
      <c r="G103" s="35" t="s">
        <v>211</v>
      </c>
      <c r="H103" s="35" t="s">
        <v>162</v>
      </c>
      <c r="I103" s="35"/>
      <c r="J103" s="56">
        <v>45972.8020833333</v>
      </c>
      <c r="K103" s="35" t="s">
        <v>171</v>
      </c>
      <c r="L103" s="35" t="s">
        <v>210</v>
      </c>
      <c r="M103" s="35"/>
      <c r="N103" s="35" t="s">
        <v>387</v>
      </c>
      <c r="O103" s="35">
        <v>79</v>
      </c>
      <c r="P103" s="35">
        <v>6384254363</v>
      </c>
      <c r="Q103" s="35"/>
      <c r="R103" s="35"/>
      <c r="S103" s="35"/>
      <c r="T103" s="35"/>
      <c r="U103" s="35"/>
      <c r="V103" s="35"/>
      <c r="W103" s="35"/>
    </row>
    <row r="104" spans="1:23">
      <c r="A104" s="35">
        <v>100</v>
      </c>
      <c r="B104" s="36">
        <v>45969</v>
      </c>
      <c r="C104" s="35" t="s">
        <v>388</v>
      </c>
      <c r="D104" s="35">
        <v>13957433442</v>
      </c>
      <c r="E104" s="35" t="s">
        <v>168</v>
      </c>
      <c r="F104" s="35" t="s">
        <v>189</v>
      </c>
      <c r="G104" s="35" t="s">
        <v>170</v>
      </c>
      <c r="H104" s="35" t="s">
        <v>162</v>
      </c>
      <c r="I104" s="35" t="s">
        <v>321</v>
      </c>
      <c r="J104" s="56">
        <v>45972.5034722222</v>
      </c>
      <c r="K104" s="35" t="s">
        <v>389</v>
      </c>
      <c r="L104" s="35" t="s">
        <v>343</v>
      </c>
      <c r="M104" s="35"/>
      <c r="N104" s="35" t="s">
        <v>390</v>
      </c>
      <c r="O104" s="35">
        <v>199</v>
      </c>
      <c r="P104" s="35">
        <v>5514559138</v>
      </c>
      <c r="Q104" s="35"/>
      <c r="R104" s="35"/>
      <c r="S104" s="35"/>
      <c r="T104" s="35"/>
      <c r="U104" s="35"/>
      <c r="V104" s="35"/>
      <c r="W104" s="35"/>
    </row>
    <row r="105" spans="1:23">
      <c r="A105" s="35">
        <v>101</v>
      </c>
      <c r="B105" s="36">
        <v>45969</v>
      </c>
      <c r="C105" s="35" t="s">
        <v>391</v>
      </c>
      <c r="D105" s="35">
        <v>18857422843</v>
      </c>
      <c r="E105" s="35" t="s">
        <v>168</v>
      </c>
      <c r="F105" s="35" t="s">
        <v>189</v>
      </c>
      <c r="G105" s="35" t="s">
        <v>210</v>
      </c>
      <c r="H105" s="35" t="s">
        <v>200</v>
      </c>
      <c r="I105" s="35" t="s">
        <v>321</v>
      </c>
      <c r="J105" s="56">
        <v>45975.4375</v>
      </c>
      <c r="K105" s="35" t="s">
        <v>392</v>
      </c>
      <c r="L105" s="35" t="s">
        <v>170</v>
      </c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</row>
    <row r="106" spans="1:23">
      <c r="A106" s="35">
        <v>103</v>
      </c>
      <c r="B106" s="36">
        <v>45970</v>
      </c>
      <c r="C106" s="35" t="s">
        <v>393</v>
      </c>
      <c r="D106" s="35">
        <v>15057778892</v>
      </c>
      <c r="E106" s="35" t="s">
        <v>195</v>
      </c>
      <c r="F106" s="35" t="s">
        <v>189</v>
      </c>
      <c r="G106" s="35"/>
      <c r="H106" s="35" t="s">
        <v>200</v>
      </c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</row>
    <row r="107" spans="1:23">
      <c r="A107" s="35">
        <v>104</v>
      </c>
      <c r="B107" s="36">
        <v>45970</v>
      </c>
      <c r="C107" s="35" t="s">
        <v>394</v>
      </c>
      <c r="D107" s="35"/>
      <c r="E107" s="35" t="s">
        <v>395</v>
      </c>
      <c r="F107" s="35" t="s">
        <v>396</v>
      </c>
      <c r="G107" s="35"/>
      <c r="H107" s="35" t="s">
        <v>200</v>
      </c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</row>
    <row r="108" spans="1:23">
      <c r="A108" s="35">
        <v>105</v>
      </c>
      <c r="B108" s="36">
        <v>45972</v>
      </c>
      <c r="C108" s="35" t="s">
        <v>397</v>
      </c>
      <c r="D108" s="35">
        <v>13586889889</v>
      </c>
      <c r="E108" s="35" t="s">
        <v>168</v>
      </c>
      <c r="F108" s="35" t="s">
        <v>169</v>
      </c>
      <c r="G108" s="35" t="s">
        <v>170</v>
      </c>
      <c r="H108" s="35" t="s">
        <v>162</v>
      </c>
      <c r="I108" s="35"/>
      <c r="J108" s="56">
        <v>45971.8020833333</v>
      </c>
      <c r="K108" s="35" t="s">
        <v>398</v>
      </c>
      <c r="L108" s="35" t="s">
        <v>211</v>
      </c>
      <c r="M108" s="35"/>
      <c r="N108" s="35" t="s">
        <v>312</v>
      </c>
      <c r="O108" s="35">
        <v>89</v>
      </c>
      <c r="P108" s="121" t="s">
        <v>399</v>
      </c>
      <c r="Q108" s="35"/>
      <c r="R108" s="35"/>
      <c r="S108" s="35"/>
      <c r="T108" s="35"/>
      <c r="U108" s="35"/>
      <c r="V108" s="35"/>
      <c r="W108" s="35"/>
    </row>
    <row r="109" spans="1:23">
      <c r="A109" s="35">
        <v>106</v>
      </c>
      <c r="B109" s="36">
        <v>45972</v>
      </c>
      <c r="C109" s="35" t="s">
        <v>400</v>
      </c>
      <c r="D109" s="35">
        <v>13586684886</v>
      </c>
      <c r="E109" s="35" t="s">
        <v>168</v>
      </c>
      <c r="F109" s="35" t="s">
        <v>189</v>
      </c>
      <c r="G109" s="35" t="s">
        <v>177</v>
      </c>
      <c r="H109" s="35" t="s">
        <v>162</v>
      </c>
      <c r="I109" s="35" t="s">
        <v>321</v>
      </c>
      <c r="J109" s="56">
        <v>45972.5034722222</v>
      </c>
      <c r="K109" s="35" t="s">
        <v>389</v>
      </c>
      <c r="L109" s="35" t="s">
        <v>343</v>
      </c>
      <c r="M109" s="35" t="s">
        <v>162</v>
      </c>
      <c r="N109" s="35" t="s">
        <v>285</v>
      </c>
      <c r="O109" s="35">
        <v>89</v>
      </c>
      <c r="P109" s="35">
        <v>3345609128</v>
      </c>
      <c r="Q109" s="78" t="s">
        <v>401</v>
      </c>
      <c r="R109" s="78">
        <v>2097</v>
      </c>
      <c r="S109" s="78" t="s">
        <v>402</v>
      </c>
      <c r="T109" s="35"/>
      <c r="U109" s="35"/>
      <c r="V109" s="35"/>
      <c r="W109" s="35"/>
    </row>
    <row r="110" spans="1:23">
      <c r="A110" s="35">
        <v>107</v>
      </c>
      <c r="B110" s="36">
        <v>45972</v>
      </c>
      <c r="C110" s="35" t="s">
        <v>403</v>
      </c>
      <c r="D110" s="51">
        <v>18858049814</v>
      </c>
      <c r="E110" s="35" t="s">
        <v>168</v>
      </c>
      <c r="F110" s="35" t="s">
        <v>189</v>
      </c>
      <c r="G110" s="35" t="s">
        <v>210</v>
      </c>
      <c r="H110" s="35" t="s">
        <v>162</v>
      </c>
      <c r="I110" s="51" t="s">
        <v>263</v>
      </c>
      <c r="J110" s="56">
        <v>45975.7291666667</v>
      </c>
      <c r="K110" s="51" t="s">
        <v>404</v>
      </c>
      <c r="L110" s="35" t="s">
        <v>210</v>
      </c>
      <c r="M110" s="35"/>
      <c r="N110" s="51" t="s">
        <v>405</v>
      </c>
      <c r="O110" s="51">
        <v>380</v>
      </c>
      <c r="P110" s="51">
        <v>9895394143</v>
      </c>
      <c r="Q110" s="35"/>
      <c r="R110" s="35"/>
      <c r="S110" s="35"/>
      <c r="T110" s="35"/>
      <c r="U110" s="35"/>
      <c r="V110" s="35"/>
      <c r="W110" s="35"/>
    </row>
    <row r="111" spans="1:23">
      <c r="A111" s="35">
        <v>108</v>
      </c>
      <c r="B111" s="36">
        <v>45972</v>
      </c>
      <c r="C111" s="35" t="s">
        <v>406</v>
      </c>
      <c r="D111" s="52"/>
      <c r="E111" s="35" t="s">
        <v>168</v>
      </c>
      <c r="F111" s="35" t="s">
        <v>189</v>
      </c>
      <c r="G111" s="35" t="s">
        <v>210</v>
      </c>
      <c r="H111" s="35" t="s">
        <v>162</v>
      </c>
      <c r="I111" s="52"/>
      <c r="J111" s="56">
        <v>45975.7291666667</v>
      </c>
      <c r="K111" s="52"/>
      <c r="L111" s="35" t="s">
        <v>210</v>
      </c>
      <c r="M111" s="35"/>
      <c r="N111" s="52"/>
      <c r="O111" s="52"/>
      <c r="P111" s="52"/>
      <c r="Q111" s="35"/>
      <c r="R111" s="35"/>
      <c r="S111" s="35"/>
      <c r="T111" s="35"/>
      <c r="U111" s="35"/>
      <c r="V111" s="35"/>
      <c r="W111" s="35"/>
    </row>
    <row r="112" spans="1:23">
      <c r="A112" s="35">
        <v>109</v>
      </c>
      <c r="B112" s="36">
        <v>45973</v>
      </c>
      <c r="C112" s="35" t="s">
        <v>407</v>
      </c>
      <c r="D112" s="35">
        <v>18268675025</v>
      </c>
      <c r="E112" s="35" t="s">
        <v>168</v>
      </c>
      <c r="F112" s="35" t="s">
        <v>396</v>
      </c>
      <c r="G112" s="35" t="s">
        <v>211</v>
      </c>
      <c r="H112" s="35" t="s">
        <v>162</v>
      </c>
      <c r="I112" s="35" t="s">
        <v>408</v>
      </c>
      <c r="J112" s="56">
        <v>45973.8020833333</v>
      </c>
      <c r="K112" s="35" t="s">
        <v>409</v>
      </c>
      <c r="L112" s="35" t="s">
        <v>343</v>
      </c>
      <c r="M112" s="35" t="s">
        <v>162</v>
      </c>
      <c r="N112" s="35" t="s">
        <v>285</v>
      </c>
      <c r="O112" s="35">
        <v>89</v>
      </c>
      <c r="P112" s="35">
        <v>7867033829</v>
      </c>
      <c r="Q112" s="35"/>
      <c r="R112" s="35"/>
      <c r="S112" s="35"/>
      <c r="T112" s="35"/>
      <c r="U112" s="35"/>
      <c r="V112" s="35"/>
      <c r="W112" s="35"/>
    </row>
    <row r="113" spans="1:23">
      <c r="A113" s="35">
        <v>110</v>
      </c>
      <c r="B113" s="36">
        <v>45974</v>
      </c>
      <c r="C113" s="35" t="s">
        <v>410</v>
      </c>
      <c r="D113" s="35">
        <v>13738005065</v>
      </c>
      <c r="E113" s="35" t="s">
        <v>168</v>
      </c>
      <c r="F113" s="35" t="s">
        <v>411</v>
      </c>
      <c r="G113" s="35" t="s">
        <v>170</v>
      </c>
      <c r="H113" s="35" t="s">
        <v>162</v>
      </c>
      <c r="I113" s="35"/>
      <c r="J113" s="56">
        <v>45974.75</v>
      </c>
      <c r="K113" s="35" t="s">
        <v>196</v>
      </c>
      <c r="L113" s="35" t="s">
        <v>190</v>
      </c>
      <c r="M113" s="35"/>
      <c r="N113" s="35" t="s">
        <v>268</v>
      </c>
      <c r="O113" s="35">
        <v>119</v>
      </c>
      <c r="P113" s="121" t="s">
        <v>412</v>
      </c>
      <c r="Q113" s="35"/>
      <c r="R113" s="35"/>
      <c r="S113" s="35"/>
      <c r="T113" s="35"/>
      <c r="U113" s="35"/>
      <c r="V113" s="35"/>
      <c r="W113" s="35"/>
    </row>
    <row r="114" spans="1:23">
      <c r="A114" s="35">
        <v>111</v>
      </c>
      <c r="B114" s="36">
        <v>45975</v>
      </c>
      <c r="C114" s="35" t="s">
        <v>413</v>
      </c>
      <c r="D114" s="51">
        <v>13486062643</v>
      </c>
      <c r="E114" s="35" t="s">
        <v>168</v>
      </c>
      <c r="F114" s="35" t="s">
        <v>189</v>
      </c>
      <c r="G114" s="35" t="s">
        <v>211</v>
      </c>
      <c r="H114" s="35" t="s">
        <v>162</v>
      </c>
      <c r="I114" s="51" t="s">
        <v>414</v>
      </c>
      <c r="J114" s="56">
        <v>45976.6875</v>
      </c>
      <c r="K114" s="35" t="s">
        <v>171</v>
      </c>
      <c r="L114" s="35" t="s">
        <v>170</v>
      </c>
      <c r="M114" s="35"/>
      <c r="N114" s="35" t="s">
        <v>203</v>
      </c>
      <c r="O114" s="35">
        <v>79</v>
      </c>
      <c r="P114" s="51" t="s">
        <v>415</v>
      </c>
      <c r="Q114" s="35"/>
      <c r="R114" s="35"/>
      <c r="S114" s="35"/>
      <c r="T114" s="35"/>
      <c r="U114" s="35"/>
      <c r="V114" s="35"/>
      <c r="W114" s="35"/>
    </row>
    <row r="115" spans="1:23">
      <c r="A115" s="35">
        <v>112</v>
      </c>
      <c r="B115" s="36">
        <v>45975</v>
      </c>
      <c r="C115" s="35" t="s">
        <v>388</v>
      </c>
      <c r="D115" s="52"/>
      <c r="E115" s="35" t="s">
        <v>168</v>
      </c>
      <c r="F115" s="35" t="s">
        <v>189</v>
      </c>
      <c r="G115" s="35" t="s">
        <v>211</v>
      </c>
      <c r="H115" s="35" t="s">
        <v>162</v>
      </c>
      <c r="I115" s="52"/>
      <c r="J115" s="56">
        <v>45976.6875</v>
      </c>
      <c r="K115" s="35" t="s">
        <v>171</v>
      </c>
      <c r="L115" s="35" t="s">
        <v>170</v>
      </c>
      <c r="M115" s="35"/>
      <c r="N115" s="35" t="s">
        <v>203</v>
      </c>
      <c r="O115" s="35">
        <v>79</v>
      </c>
      <c r="P115" s="52"/>
      <c r="Q115" s="35"/>
      <c r="R115" s="35"/>
      <c r="S115" s="35"/>
      <c r="T115" s="35"/>
      <c r="U115" s="35"/>
      <c r="V115" s="35"/>
      <c r="W115" s="35"/>
    </row>
    <row r="116" spans="1:23">
      <c r="A116" s="35">
        <v>113</v>
      </c>
      <c r="B116" s="36">
        <v>45976</v>
      </c>
      <c r="C116" s="35" t="s">
        <v>416</v>
      </c>
      <c r="D116" s="35">
        <v>15510000769</v>
      </c>
      <c r="E116" s="35" t="s">
        <v>168</v>
      </c>
      <c r="F116" s="35" t="s">
        <v>176</v>
      </c>
      <c r="G116" s="35" t="s">
        <v>177</v>
      </c>
      <c r="H116" s="35" t="s">
        <v>162</v>
      </c>
      <c r="I116" s="35"/>
      <c r="J116" s="56">
        <v>45977.6041666667</v>
      </c>
      <c r="K116" s="35" t="s">
        <v>417</v>
      </c>
      <c r="L116" s="35" t="s">
        <v>177</v>
      </c>
      <c r="M116" s="35" t="s">
        <v>162</v>
      </c>
      <c r="N116" s="35" t="s">
        <v>285</v>
      </c>
      <c r="O116" s="35">
        <v>89</v>
      </c>
      <c r="P116" s="121" t="s">
        <v>418</v>
      </c>
      <c r="Q116" s="35" t="s">
        <v>419</v>
      </c>
      <c r="R116" s="35">
        <v>2330</v>
      </c>
      <c r="S116" s="35"/>
      <c r="T116" s="35"/>
      <c r="U116" s="35"/>
      <c r="V116" s="35"/>
      <c r="W116" s="35"/>
    </row>
    <row r="117" spans="1:23">
      <c r="A117" s="35">
        <v>114</v>
      </c>
      <c r="B117" s="36">
        <v>45978</v>
      </c>
      <c r="C117" s="35" t="s">
        <v>420</v>
      </c>
      <c r="D117" s="35">
        <v>15857656713</v>
      </c>
      <c r="E117" s="35" t="s">
        <v>168</v>
      </c>
      <c r="F117" s="35" t="s">
        <v>189</v>
      </c>
      <c r="G117" s="35" t="s">
        <v>210</v>
      </c>
      <c r="H117" s="35" t="s">
        <v>162</v>
      </c>
      <c r="I117" s="35"/>
      <c r="J117" s="56">
        <v>45978.75</v>
      </c>
      <c r="K117" s="35" t="s">
        <v>247</v>
      </c>
      <c r="L117" s="35" t="s">
        <v>300</v>
      </c>
      <c r="M117" s="35" t="s">
        <v>162</v>
      </c>
      <c r="N117" s="35" t="s">
        <v>285</v>
      </c>
      <c r="O117" s="35">
        <v>89</v>
      </c>
      <c r="P117" s="121" t="s">
        <v>421</v>
      </c>
      <c r="Q117" s="35" t="s">
        <v>422</v>
      </c>
      <c r="R117" s="35">
        <v>2160</v>
      </c>
      <c r="S117" s="35"/>
      <c r="T117" s="35"/>
      <c r="U117" s="35"/>
      <c r="V117" s="35"/>
      <c r="W117" s="35"/>
    </row>
    <row r="118" ht="31.5" spans="1:23">
      <c r="A118" s="35">
        <v>115</v>
      </c>
      <c r="B118" s="36">
        <v>45978</v>
      </c>
      <c r="C118" s="35" t="s">
        <v>403</v>
      </c>
      <c r="D118" s="35">
        <v>18810801673</v>
      </c>
      <c r="E118" s="35" t="s">
        <v>423</v>
      </c>
      <c r="F118" s="35" t="s">
        <v>267</v>
      </c>
      <c r="G118" s="35" t="s">
        <v>211</v>
      </c>
      <c r="H118" s="35" t="s">
        <v>162</v>
      </c>
      <c r="I118" s="35"/>
      <c r="J118" s="56">
        <v>45979.75</v>
      </c>
      <c r="K118" s="35" t="s">
        <v>196</v>
      </c>
      <c r="L118" s="35" t="s">
        <v>190</v>
      </c>
      <c r="M118" s="35"/>
      <c r="N118" s="38" t="s">
        <v>424</v>
      </c>
      <c r="O118" s="35" t="s">
        <v>425</v>
      </c>
      <c r="P118" s="122" t="s">
        <v>426</v>
      </c>
      <c r="Q118" s="35"/>
      <c r="R118" s="35"/>
      <c r="S118" s="35"/>
      <c r="T118" s="35"/>
      <c r="U118" s="35"/>
      <c r="V118" s="35"/>
      <c r="W118" s="35"/>
    </row>
    <row r="119" spans="1:23">
      <c r="A119" s="35">
        <v>116</v>
      </c>
      <c r="B119" s="36">
        <v>45978</v>
      </c>
      <c r="C119" s="35" t="s">
        <v>427</v>
      </c>
      <c r="D119" s="35">
        <v>13463222350</v>
      </c>
      <c r="E119" s="35" t="s">
        <v>315</v>
      </c>
      <c r="F119" s="35" t="s">
        <v>169</v>
      </c>
      <c r="G119" s="35" t="s">
        <v>170</v>
      </c>
      <c r="H119" s="35" t="s">
        <v>162</v>
      </c>
      <c r="I119" s="35"/>
      <c r="J119" s="56">
        <v>45979.6666666667</v>
      </c>
      <c r="K119" s="35" t="s">
        <v>428</v>
      </c>
      <c r="L119" s="35" t="s">
        <v>190</v>
      </c>
      <c r="M119" s="35" t="s">
        <v>162</v>
      </c>
      <c r="N119" s="35" t="s">
        <v>429</v>
      </c>
      <c r="O119" s="35">
        <v>399</v>
      </c>
      <c r="P119" s="121" t="s">
        <v>430</v>
      </c>
      <c r="Q119" s="35" t="s">
        <v>431</v>
      </c>
      <c r="R119" s="35">
        <v>2999</v>
      </c>
      <c r="S119" s="35"/>
      <c r="T119" s="35"/>
      <c r="U119" s="35"/>
      <c r="V119" s="35"/>
      <c r="W119" s="35"/>
    </row>
    <row r="120" spans="1:23">
      <c r="A120" s="35">
        <v>117</v>
      </c>
      <c r="B120" s="36">
        <v>45979</v>
      </c>
      <c r="C120" s="35" t="s">
        <v>432</v>
      </c>
      <c r="D120" s="35">
        <v>15968054429</v>
      </c>
      <c r="E120" s="35" t="s">
        <v>433</v>
      </c>
      <c r="F120" s="35" t="s">
        <v>189</v>
      </c>
      <c r="G120" s="35" t="s">
        <v>210</v>
      </c>
      <c r="H120" s="35" t="s">
        <v>162</v>
      </c>
      <c r="I120" s="35"/>
      <c r="J120" s="56">
        <v>45980.6875</v>
      </c>
      <c r="K120" s="35" t="s">
        <v>434</v>
      </c>
      <c r="L120" s="35" t="s">
        <v>435</v>
      </c>
      <c r="M120" s="35" t="s">
        <v>162</v>
      </c>
      <c r="N120" s="35" t="s">
        <v>436</v>
      </c>
      <c r="O120" s="35">
        <v>299</v>
      </c>
      <c r="P120" s="121" t="s">
        <v>437</v>
      </c>
      <c r="Q120" s="35" t="s">
        <v>438</v>
      </c>
      <c r="R120" s="35">
        <v>14999.5</v>
      </c>
      <c r="S120" s="35"/>
      <c r="T120" s="35"/>
      <c r="U120" s="35"/>
      <c r="V120" s="35"/>
      <c r="W120" s="35"/>
    </row>
    <row r="121" spans="1:23">
      <c r="A121" s="35">
        <v>118</v>
      </c>
      <c r="B121" s="36">
        <v>45982</v>
      </c>
      <c r="C121" s="35" t="s">
        <v>439</v>
      </c>
      <c r="D121" s="35">
        <v>13736006578</v>
      </c>
      <c r="E121" s="35" t="s">
        <v>168</v>
      </c>
      <c r="F121" s="35" t="s">
        <v>189</v>
      </c>
      <c r="G121" s="35" t="s">
        <v>170</v>
      </c>
      <c r="H121" s="35" t="s">
        <v>162</v>
      </c>
      <c r="I121" s="35" t="s">
        <v>321</v>
      </c>
      <c r="J121" s="56">
        <v>45984.5694444444</v>
      </c>
      <c r="K121" s="35" t="s">
        <v>440</v>
      </c>
      <c r="L121" s="35" t="s">
        <v>170</v>
      </c>
      <c r="M121" s="35" t="s">
        <v>162</v>
      </c>
      <c r="N121" s="35" t="s">
        <v>441</v>
      </c>
      <c r="O121" s="35">
        <v>199</v>
      </c>
      <c r="P121" s="121" t="s">
        <v>442</v>
      </c>
      <c r="Q121" s="35" t="s">
        <v>443</v>
      </c>
      <c r="R121" s="35">
        <v>3560</v>
      </c>
      <c r="S121" s="35"/>
      <c r="T121" s="35"/>
      <c r="U121" s="35"/>
      <c r="V121" s="35"/>
      <c r="W121" s="35"/>
    </row>
    <row r="122" spans="1:23">
      <c r="A122" s="35">
        <v>119</v>
      </c>
      <c r="B122" s="36">
        <v>45984</v>
      </c>
      <c r="C122" s="35" t="s">
        <v>444</v>
      </c>
      <c r="D122" s="35">
        <v>13586684733</v>
      </c>
      <c r="E122" s="35" t="s">
        <v>168</v>
      </c>
      <c r="F122" s="35" t="s">
        <v>267</v>
      </c>
      <c r="G122" s="35"/>
      <c r="H122" s="35" t="s">
        <v>200</v>
      </c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</row>
    <row r="123" spans="1:23">
      <c r="A123" s="35">
        <v>120</v>
      </c>
      <c r="B123" s="36">
        <v>45984</v>
      </c>
      <c r="C123" s="35" t="s">
        <v>445</v>
      </c>
      <c r="D123" s="35">
        <v>15867251276</v>
      </c>
      <c r="E123" s="35" t="s">
        <v>168</v>
      </c>
      <c r="F123" s="35" t="s">
        <v>169</v>
      </c>
      <c r="G123" s="35" t="s">
        <v>210</v>
      </c>
      <c r="H123" s="35" t="s">
        <v>162</v>
      </c>
      <c r="I123" s="35" t="s">
        <v>321</v>
      </c>
      <c r="J123" s="56">
        <v>45985.8020833333</v>
      </c>
      <c r="K123" s="35" t="s">
        <v>446</v>
      </c>
      <c r="L123" s="35" t="s">
        <v>248</v>
      </c>
      <c r="M123" s="35"/>
      <c r="N123" s="35" t="s">
        <v>312</v>
      </c>
      <c r="O123" s="35">
        <v>89</v>
      </c>
      <c r="P123" s="121" t="s">
        <v>447</v>
      </c>
      <c r="Q123" s="35"/>
      <c r="R123" s="35"/>
      <c r="S123" s="35"/>
      <c r="T123" s="35"/>
      <c r="U123" s="35"/>
      <c r="V123" s="35"/>
      <c r="W123" s="35"/>
    </row>
    <row r="124" spans="1:23">
      <c r="A124" s="35">
        <v>121</v>
      </c>
      <c r="B124" s="36">
        <v>45985</v>
      </c>
      <c r="C124" s="35" t="s">
        <v>448</v>
      </c>
      <c r="D124" s="35">
        <v>17881531005</v>
      </c>
      <c r="E124" s="35" t="s">
        <v>168</v>
      </c>
      <c r="F124" s="35" t="s">
        <v>189</v>
      </c>
      <c r="G124" s="35"/>
      <c r="H124" s="35" t="s">
        <v>200</v>
      </c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</row>
    <row r="125" spans="1:23">
      <c r="A125" s="35">
        <v>122</v>
      </c>
      <c r="B125" s="36">
        <v>45985</v>
      </c>
      <c r="C125" s="35" t="s">
        <v>449</v>
      </c>
      <c r="D125" s="35">
        <v>18858248207</v>
      </c>
      <c r="E125" s="35" t="s">
        <v>168</v>
      </c>
      <c r="F125" s="35" t="s">
        <v>189</v>
      </c>
      <c r="G125" s="35"/>
      <c r="H125" s="35" t="s">
        <v>200</v>
      </c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</row>
    <row r="126" spans="1:23">
      <c r="A126" s="35">
        <v>123</v>
      </c>
      <c r="B126" s="36">
        <v>45986</v>
      </c>
      <c r="C126" s="35" t="s">
        <v>450</v>
      </c>
      <c r="D126" s="35"/>
      <c r="E126" s="35" t="s">
        <v>451</v>
      </c>
      <c r="F126" s="35" t="s">
        <v>189</v>
      </c>
      <c r="G126" s="35"/>
      <c r="H126" s="35" t="s">
        <v>200</v>
      </c>
      <c r="I126" s="35" t="s">
        <v>452</v>
      </c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</row>
    <row r="127" spans="1:23">
      <c r="A127" s="35">
        <v>124</v>
      </c>
      <c r="B127" s="36">
        <v>45990</v>
      </c>
      <c r="C127" s="35" t="s">
        <v>453</v>
      </c>
      <c r="D127" s="35">
        <v>15996830655</v>
      </c>
      <c r="E127" s="35" t="s">
        <v>423</v>
      </c>
      <c r="F127" s="35" t="s">
        <v>189</v>
      </c>
      <c r="G127" s="35" t="s">
        <v>170</v>
      </c>
      <c r="H127" s="35" t="s">
        <v>162</v>
      </c>
      <c r="I127" s="35" t="s">
        <v>321</v>
      </c>
      <c r="J127" s="56">
        <v>45992.8125</v>
      </c>
      <c r="K127" s="35" t="s">
        <v>296</v>
      </c>
      <c r="L127" s="35" t="s">
        <v>170</v>
      </c>
      <c r="M127" s="35"/>
      <c r="N127" s="35" t="s">
        <v>454</v>
      </c>
      <c r="O127" s="35">
        <v>399</v>
      </c>
      <c r="P127" s="121" t="s">
        <v>455</v>
      </c>
      <c r="Q127" s="35"/>
      <c r="R127" s="35"/>
      <c r="S127" s="35"/>
      <c r="T127" s="35"/>
      <c r="U127" s="35"/>
      <c r="V127" s="35"/>
      <c r="W127" s="35"/>
    </row>
    <row r="128" s="76" customFormat="1" spans="1:23">
      <c r="A128" s="46">
        <v>125</v>
      </c>
      <c r="B128" s="79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1"/>
      <c r="P128" s="46"/>
      <c r="Q128" s="46"/>
      <c r="R128" s="46"/>
      <c r="S128" s="46"/>
      <c r="T128" s="46"/>
      <c r="U128" s="46"/>
      <c r="V128" s="46"/>
    </row>
    <row r="129" spans="1:22">
      <c r="A129" s="35">
        <v>126</v>
      </c>
      <c r="B129" s="36">
        <v>45992</v>
      </c>
      <c r="C129" s="35" t="s">
        <v>456</v>
      </c>
      <c r="D129" s="35">
        <v>15267879705</v>
      </c>
      <c r="E129" s="35" t="s">
        <v>168</v>
      </c>
      <c r="F129" s="35" t="s">
        <v>189</v>
      </c>
      <c r="G129" s="35"/>
      <c r="H129" s="35" t="s">
        <v>200</v>
      </c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</row>
    <row r="130" spans="1:22">
      <c r="A130" s="35">
        <v>127</v>
      </c>
      <c r="B130" s="36">
        <v>45992</v>
      </c>
      <c r="C130" s="35" t="s">
        <v>457</v>
      </c>
      <c r="D130" s="35">
        <v>15190762360</v>
      </c>
      <c r="E130" s="35" t="s">
        <v>423</v>
      </c>
      <c r="F130" s="35" t="s">
        <v>189</v>
      </c>
      <c r="G130" s="35"/>
      <c r="H130" s="35" t="s">
        <v>200</v>
      </c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</row>
    <row r="131" spans="1:22">
      <c r="A131" s="35">
        <v>128</v>
      </c>
      <c r="B131" s="36">
        <v>45992</v>
      </c>
      <c r="C131" s="35" t="s">
        <v>458</v>
      </c>
      <c r="D131" s="35">
        <v>13486662468</v>
      </c>
      <c r="E131" s="35" t="s">
        <v>168</v>
      </c>
      <c r="F131" s="35" t="s">
        <v>189</v>
      </c>
      <c r="G131" s="35" t="s">
        <v>170</v>
      </c>
      <c r="H131" s="35" t="s">
        <v>200</v>
      </c>
      <c r="I131" s="35"/>
      <c r="J131" s="56">
        <v>45994.5</v>
      </c>
      <c r="K131" s="35" t="s">
        <v>171</v>
      </c>
      <c r="L131" s="35" t="s">
        <v>170</v>
      </c>
      <c r="M131" s="35"/>
      <c r="N131" s="35" t="s">
        <v>276</v>
      </c>
      <c r="P131" s="35"/>
      <c r="Q131" s="35"/>
      <c r="R131" s="35"/>
      <c r="S131" s="35"/>
      <c r="T131" s="35"/>
      <c r="U131" s="35"/>
      <c r="V131" s="35"/>
    </row>
    <row r="132" spans="1:22">
      <c r="A132" s="35">
        <v>129</v>
      </c>
      <c r="B132" s="36">
        <v>45992</v>
      </c>
      <c r="C132" s="35" t="s">
        <v>459</v>
      </c>
      <c r="D132" s="35">
        <v>13777116833</v>
      </c>
      <c r="E132" s="35" t="s">
        <v>168</v>
      </c>
      <c r="F132" s="35" t="s">
        <v>169</v>
      </c>
      <c r="G132" s="35"/>
      <c r="H132" s="35" t="s">
        <v>200</v>
      </c>
      <c r="I132" s="35" t="s">
        <v>460</v>
      </c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</row>
    <row r="133" spans="1:22">
      <c r="A133" s="35">
        <v>130</v>
      </c>
      <c r="B133" s="36">
        <v>45992</v>
      </c>
      <c r="C133" s="35" t="s">
        <v>461</v>
      </c>
      <c r="D133" s="51">
        <v>13867810060</v>
      </c>
      <c r="E133" s="35" t="s">
        <v>159</v>
      </c>
      <c r="F133" s="35" t="s">
        <v>189</v>
      </c>
      <c r="G133" s="35" t="s">
        <v>177</v>
      </c>
      <c r="H133" s="35" t="s">
        <v>162</v>
      </c>
      <c r="I133" s="51" t="s">
        <v>263</v>
      </c>
      <c r="J133" s="56">
        <v>45993.8055555556</v>
      </c>
      <c r="K133" s="35" t="s">
        <v>404</v>
      </c>
      <c r="L133" s="35" t="s">
        <v>211</v>
      </c>
      <c r="M133" s="35" t="s">
        <v>162</v>
      </c>
      <c r="N133" s="35" t="s">
        <v>405</v>
      </c>
      <c r="O133" s="51">
        <v>380</v>
      </c>
      <c r="P133" s="123" t="s">
        <v>462</v>
      </c>
      <c r="Q133" s="51" t="s">
        <v>463</v>
      </c>
      <c r="R133" s="51">
        <v>6299</v>
      </c>
      <c r="S133" s="35"/>
      <c r="T133" s="35"/>
      <c r="U133" s="35"/>
      <c r="V133" s="35"/>
    </row>
    <row r="134" spans="1:22">
      <c r="A134" s="35">
        <v>131</v>
      </c>
      <c r="B134" s="36">
        <v>45992</v>
      </c>
      <c r="C134" s="35" t="s">
        <v>464</v>
      </c>
      <c r="D134" s="52"/>
      <c r="E134" s="35" t="s">
        <v>159</v>
      </c>
      <c r="F134" s="35" t="s">
        <v>189</v>
      </c>
      <c r="G134" s="35" t="s">
        <v>177</v>
      </c>
      <c r="H134" s="35" t="s">
        <v>162</v>
      </c>
      <c r="I134" s="52"/>
      <c r="J134" s="56">
        <v>45993.8055555556</v>
      </c>
      <c r="K134" s="35" t="s">
        <v>404</v>
      </c>
      <c r="L134" s="35" t="s">
        <v>211</v>
      </c>
      <c r="M134" s="35" t="s">
        <v>162</v>
      </c>
      <c r="N134" s="35" t="s">
        <v>405</v>
      </c>
      <c r="O134" s="52"/>
      <c r="P134" s="52"/>
      <c r="Q134" s="52"/>
      <c r="R134" s="52"/>
      <c r="S134" s="35"/>
      <c r="T134" s="35"/>
      <c r="U134" s="35"/>
      <c r="V134" s="35"/>
    </row>
    <row r="135" spans="1:22">
      <c r="A135" s="35">
        <v>132</v>
      </c>
      <c r="B135" s="36">
        <v>45993</v>
      </c>
      <c r="C135" s="35" t="s">
        <v>291</v>
      </c>
      <c r="D135" s="35">
        <v>18668568451</v>
      </c>
      <c r="E135" s="35" t="s">
        <v>168</v>
      </c>
      <c r="F135" s="35" t="s">
        <v>169</v>
      </c>
      <c r="G135" s="35"/>
      <c r="H135" s="35" t="s">
        <v>200</v>
      </c>
      <c r="I135" s="35" t="s">
        <v>465</v>
      </c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</row>
    <row r="136" spans="1:22">
      <c r="A136" s="35">
        <v>133</v>
      </c>
      <c r="B136" s="36">
        <v>45996</v>
      </c>
      <c r="C136" s="35" t="s">
        <v>302</v>
      </c>
      <c r="D136" s="35">
        <v>18200641153</v>
      </c>
      <c r="E136" s="35" t="s">
        <v>168</v>
      </c>
      <c r="F136" s="35" t="s">
        <v>189</v>
      </c>
      <c r="G136" s="35" t="s">
        <v>170</v>
      </c>
      <c r="H136" s="35" t="s">
        <v>162</v>
      </c>
      <c r="I136" s="35" t="s">
        <v>466</v>
      </c>
      <c r="J136" s="56">
        <v>45996.7708333333</v>
      </c>
      <c r="K136" s="35" t="s">
        <v>467</v>
      </c>
      <c r="L136" s="35" t="s">
        <v>170</v>
      </c>
      <c r="M136" s="35"/>
      <c r="N136" s="35" t="s">
        <v>468</v>
      </c>
      <c r="O136" s="35">
        <v>399</v>
      </c>
      <c r="P136" s="121" t="s">
        <v>469</v>
      </c>
      <c r="Q136" s="35"/>
      <c r="R136" s="35"/>
      <c r="S136" s="35"/>
      <c r="T136" s="35"/>
      <c r="U136" s="35"/>
      <c r="V136" s="35"/>
    </row>
    <row r="137" ht="47.25" spans="1:22">
      <c r="A137" s="35">
        <v>134</v>
      </c>
      <c r="B137" s="36">
        <v>45999</v>
      </c>
      <c r="C137" s="35" t="s">
        <v>445</v>
      </c>
      <c r="D137" s="35">
        <v>18968280882</v>
      </c>
      <c r="E137" s="35" t="s">
        <v>168</v>
      </c>
      <c r="F137" s="35" t="s">
        <v>189</v>
      </c>
      <c r="G137" s="35" t="s">
        <v>210</v>
      </c>
      <c r="H137" s="35" t="s">
        <v>162</v>
      </c>
      <c r="I137" s="35"/>
      <c r="J137" s="56">
        <v>46000.4375</v>
      </c>
      <c r="K137" s="35" t="s">
        <v>289</v>
      </c>
      <c r="L137" s="35" t="s">
        <v>211</v>
      </c>
      <c r="M137" s="35" t="s">
        <v>162</v>
      </c>
      <c r="N137" s="35" t="s">
        <v>249</v>
      </c>
      <c r="O137" s="35">
        <v>199</v>
      </c>
      <c r="P137" s="38" t="s">
        <v>470</v>
      </c>
      <c r="Q137" s="35" t="s">
        <v>471</v>
      </c>
      <c r="R137" s="35">
        <v>3664</v>
      </c>
      <c r="S137" s="35" t="s">
        <v>472</v>
      </c>
      <c r="T137" s="35"/>
      <c r="U137" s="35"/>
      <c r="V137" s="35"/>
    </row>
    <row r="138" spans="1:22">
      <c r="A138" s="35">
        <v>135</v>
      </c>
      <c r="B138" s="36">
        <v>46000</v>
      </c>
      <c r="C138" s="35" t="s">
        <v>473</v>
      </c>
      <c r="D138" s="35">
        <v>13454712748</v>
      </c>
      <c r="E138" s="35" t="s">
        <v>168</v>
      </c>
      <c r="F138" s="35" t="s">
        <v>189</v>
      </c>
      <c r="G138" s="35" t="s">
        <v>177</v>
      </c>
      <c r="H138" s="35" t="s">
        <v>162</v>
      </c>
      <c r="I138" s="35" t="s">
        <v>474</v>
      </c>
      <c r="J138" s="56">
        <v>46000.8020833333</v>
      </c>
      <c r="K138" s="35" t="s">
        <v>475</v>
      </c>
      <c r="L138" s="35" t="s">
        <v>177</v>
      </c>
      <c r="M138" s="35" t="s">
        <v>162</v>
      </c>
      <c r="N138" s="35" t="s">
        <v>285</v>
      </c>
      <c r="O138" s="35">
        <v>89</v>
      </c>
      <c r="P138" s="121" t="s">
        <v>476</v>
      </c>
      <c r="Q138" s="35" t="s">
        <v>477</v>
      </c>
      <c r="R138" s="35">
        <v>1010</v>
      </c>
      <c r="S138" s="35"/>
      <c r="T138" s="35"/>
      <c r="U138" s="35"/>
      <c r="V138" s="35"/>
    </row>
    <row r="139" spans="1:22">
      <c r="A139" s="35">
        <v>136</v>
      </c>
      <c r="B139" s="36">
        <v>46001</v>
      </c>
      <c r="C139" s="35" t="s">
        <v>478</v>
      </c>
      <c r="D139" s="35">
        <v>15757879939</v>
      </c>
      <c r="E139" s="35" t="s">
        <v>168</v>
      </c>
      <c r="F139" s="35" t="s">
        <v>189</v>
      </c>
      <c r="G139" s="35" t="s">
        <v>177</v>
      </c>
      <c r="H139" s="35" t="s">
        <v>162</v>
      </c>
      <c r="I139" s="35" t="s">
        <v>474</v>
      </c>
      <c r="J139" s="56">
        <v>46002.8020833333</v>
      </c>
      <c r="K139" s="35" t="s">
        <v>417</v>
      </c>
      <c r="L139" s="35" t="s">
        <v>177</v>
      </c>
      <c r="M139" s="35"/>
      <c r="N139" s="35" t="s">
        <v>285</v>
      </c>
      <c r="O139" s="35">
        <v>89</v>
      </c>
      <c r="P139" s="121" t="s">
        <v>479</v>
      </c>
      <c r="Q139" s="35"/>
      <c r="R139" s="35"/>
      <c r="S139" s="35"/>
      <c r="T139" s="35"/>
      <c r="U139" s="35"/>
      <c r="V139" s="35"/>
    </row>
    <row r="140" spans="1:22">
      <c r="A140" s="35">
        <v>137</v>
      </c>
      <c r="B140" s="36">
        <v>46002</v>
      </c>
      <c r="C140" s="35" t="s">
        <v>480</v>
      </c>
      <c r="D140" s="35">
        <v>13857872458</v>
      </c>
      <c r="E140" s="35" t="s">
        <v>168</v>
      </c>
      <c r="F140" s="35" t="s">
        <v>189</v>
      </c>
      <c r="G140" s="35" t="s">
        <v>211</v>
      </c>
      <c r="H140" s="35" t="s">
        <v>162</v>
      </c>
      <c r="I140" s="35"/>
      <c r="J140" s="56">
        <v>46002.8020833333</v>
      </c>
      <c r="K140" s="35" t="s">
        <v>417</v>
      </c>
      <c r="L140" s="35" t="s">
        <v>177</v>
      </c>
      <c r="M140" s="35" t="s">
        <v>162</v>
      </c>
      <c r="N140" s="35" t="s">
        <v>285</v>
      </c>
      <c r="O140" s="35">
        <v>89</v>
      </c>
      <c r="P140" s="121" t="s">
        <v>481</v>
      </c>
      <c r="Q140" s="35" t="s">
        <v>482</v>
      </c>
      <c r="R140" s="35">
        <v>2100</v>
      </c>
      <c r="S140" s="35"/>
      <c r="T140" s="35"/>
      <c r="U140" s="35"/>
      <c r="V140" s="35"/>
    </row>
    <row r="141" spans="1:22">
      <c r="A141" s="35">
        <v>138</v>
      </c>
      <c r="B141" s="36"/>
      <c r="C141" s="35"/>
      <c r="D141" s="35"/>
      <c r="E141" s="35"/>
      <c r="F141" s="35"/>
      <c r="G141" s="35" t="s">
        <v>170</v>
      </c>
      <c r="H141" s="35" t="s">
        <v>162</v>
      </c>
      <c r="I141" s="35" t="s">
        <v>483</v>
      </c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</row>
    <row r="142" spans="1:22">
      <c r="A142" s="35">
        <v>139</v>
      </c>
      <c r="B142" s="36"/>
      <c r="C142" s="35"/>
      <c r="D142" s="35"/>
      <c r="E142" s="35"/>
      <c r="F142" s="35"/>
      <c r="G142" s="35" t="s">
        <v>177</v>
      </c>
      <c r="H142" s="35" t="s">
        <v>162</v>
      </c>
      <c r="I142" s="35" t="s">
        <v>483</v>
      </c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</row>
    <row r="143" spans="1:22">
      <c r="A143" s="35">
        <v>140</v>
      </c>
      <c r="B143" s="36">
        <v>46005</v>
      </c>
      <c r="C143" s="35" t="s">
        <v>484</v>
      </c>
      <c r="D143" s="35">
        <v>13245660630</v>
      </c>
      <c r="E143" s="35" t="s">
        <v>168</v>
      </c>
      <c r="F143" s="35" t="s">
        <v>169</v>
      </c>
      <c r="G143" s="35" t="s">
        <v>210</v>
      </c>
      <c r="H143" s="35" t="s">
        <v>162</v>
      </c>
      <c r="I143" s="35"/>
      <c r="J143" s="56">
        <v>46006.7569444444</v>
      </c>
      <c r="K143" s="35" t="s">
        <v>485</v>
      </c>
      <c r="L143" s="35" t="s">
        <v>210</v>
      </c>
      <c r="M143" s="35" t="s">
        <v>162</v>
      </c>
      <c r="N143" s="35" t="s">
        <v>486</v>
      </c>
      <c r="O143" s="35">
        <v>199</v>
      </c>
      <c r="P143" s="121" t="s">
        <v>487</v>
      </c>
      <c r="Q143" s="35" t="s">
        <v>488</v>
      </c>
      <c r="R143" s="35">
        <v>3200</v>
      </c>
      <c r="S143" s="35"/>
      <c r="T143" s="35"/>
      <c r="U143" s="35"/>
      <c r="V143" s="35"/>
    </row>
    <row r="144" spans="1:22">
      <c r="A144" s="35">
        <v>141</v>
      </c>
      <c r="B144" s="36"/>
      <c r="C144" s="35"/>
      <c r="D144" s="35"/>
      <c r="E144" s="35"/>
      <c r="F144" s="35"/>
      <c r="G144" s="35" t="s">
        <v>211</v>
      </c>
      <c r="H144" s="35" t="s">
        <v>162</v>
      </c>
      <c r="I144" s="35" t="s">
        <v>483</v>
      </c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</row>
    <row r="145" spans="1:22">
      <c r="A145" s="35">
        <v>142</v>
      </c>
      <c r="B145" s="36">
        <v>46007</v>
      </c>
      <c r="C145" s="35" t="s">
        <v>489</v>
      </c>
      <c r="D145" s="35">
        <v>13940967466</v>
      </c>
      <c r="E145" s="35" t="s">
        <v>168</v>
      </c>
      <c r="F145" s="35" t="s">
        <v>189</v>
      </c>
      <c r="G145" s="35" t="s">
        <v>170</v>
      </c>
      <c r="H145" s="35" t="s">
        <v>162</v>
      </c>
      <c r="I145" s="35" t="s">
        <v>490</v>
      </c>
      <c r="J145" s="56">
        <v>46008.6041666667</v>
      </c>
      <c r="K145" s="35" t="s">
        <v>171</v>
      </c>
      <c r="L145" s="35" t="s">
        <v>210</v>
      </c>
      <c r="M145" s="35"/>
      <c r="N145" s="35" t="s">
        <v>387</v>
      </c>
      <c r="O145" s="35">
        <v>79</v>
      </c>
      <c r="P145" s="121" t="s">
        <v>491</v>
      </c>
      <c r="Q145" s="35"/>
      <c r="R145" s="35"/>
      <c r="S145" s="35"/>
      <c r="T145" s="35"/>
      <c r="U145" s="35"/>
      <c r="V145" s="35"/>
    </row>
    <row r="146" ht="47.25" spans="1:22">
      <c r="A146" s="35">
        <v>143</v>
      </c>
      <c r="B146" s="36">
        <v>46007</v>
      </c>
      <c r="C146" s="35" t="s">
        <v>492</v>
      </c>
      <c r="D146" s="35">
        <v>13248595970</v>
      </c>
      <c r="E146" s="35" t="s">
        <v>168</v>
      </c>
      <c r="F146" s="35" t="s">
        <v>189</v>
      </c>
      <c r="G146" s="35" t="s">
        <v>210</v>
      </c>
      <c r="H146" s="35" t="s">
        <v>162</v>
      </c>
      <c r="I146" s="35"/>
      <c r="J146" s="56">
        <v>46009.5</v>
      </c>
      <c r="K146" s="35" t="s">
        <v>171</v>
      </c>
      <c r="L146" s="35" t="s">
        <v>435</v>
      </c>
      <c r="M146" s="35" t="s">
        <v>162</v>
      </c>
      <c r="N146" s="35" t="s">
        <v>493</v>
      </c>
      <c r="O146" s="35">
        <v>199</v>
      </c>
      <c r="P146" s="38" t="s">
        <v>494</v>
      </c>
      <c r="Q146" s="38" t="s">
        <v>495</v>
      </c>
      <c r="R146" s="35">
        <v>4388</v>
      </c>
      <c r="S146" s="35"/>
      <c r="T146" s="35"/>
      <c r="U146" s="35"/>
      <c r="V146" s="35"/>
    </row>
    <row r="147" spans="1:22">
      <c r="A147" s="35">
        <v>144</v>
      </c>
      <c r="B147" s="36">
        <v>46008</v>
      </c>
      <c r="C147" s="35" t="s">
        <v>496</v>
      </c>
      <c r="D147" s="35">
        <v>18367733377</v>
      </c>
      <c r="E147" s="35" t="s">
        <v>168</v>
      </c>
      <c r="F147" s="35" t="s">
        <v>189</v>
      </c>
      <c r="G147" s="35" t="s">
        <v>211</v>
      </c>
      <c r="H147" s="35" t="s">
        <v>162</v>
      </c>
      <c r="I147" s="35"/>
      <c r="J147" s="56">
        <v>46008.8020833333</v>
      </c>
      <c r="K147" s="35" t="s">
        <v>171</v>
      </c>
      <c r="L147" s="35" t="s">
        <v>248</v>
      </c>
      <c r="M147" s="35"/>
      <c r="N147" s="35" t="s">
        <v>387</v>
      </c>
      <c r="O147" s="35">
        <v>79</v>
      </c>
      <c r="P147" s="121" t="s">
        <v>497</v>
      </c>
      <c r="Q147" s="35"/>
      <c r="R147" s="35"/>
      <c r="S147" s="35"/>
      <c r="T147" s="35"/>
      <c r="U147" s="35"/>
      <c r="V147" s="35"/>
    </row>
    <row r="148" spans="1:22">
      <c r="A148" s="35">
        <v>145</v>
      </c>
      <c r="B148" s="36">
        <v>46009</v>
      </c>
      <c r="C148" s="35" t="s">
        <v>498</v>
      </c>
      <c r="D148" s="35">
        <v>19557412001</v>
      </c>
      <c r="E148" s="35" t="s">
        <v>168</v>
      </c>
      <c r="F148" s="35" t="s">
        <v>189</v>
      </c>
      <c r="G148" s="35" t="s">
        <v>170</v>
      </c>
      <c r="H148" s="35" t="s">
        <v>162</v>
      </c>
      <c r="I148" s="35"/>
      <c r="J148" s="56">
        <v>46010.5</v>
      </c>
      <c r="K148" s="35" t="s">
        <v>171</v>
      </c>
      <c r="L148" s="35" t="s">
        <v>170</v>
      </c>
      <c r="M148" s="35" t="s">
        <v>162</v>
      </c>
      <c r="O148" s="35"/>
      <c r="P148" s="35"/>
      <c r="Q148" s="35" t="s">
        <v>499</v>
      </c>
      <c r="R148" s="35" t="s">
        <v>500</v>
      </c>
      <c r="S148" s="35"/>
      <c r="T148" s="35"/>
      <c r="U148" s="35"/>
      <c r="V148" s="35"/>
    </row>
    <row r="149" spans="1:22">
      <c r="A149" s="35">
        <v>146</v>
      </c>
      <c r="B149" s="36">
        <v>46012</v>
      </c>
      <c r="C149" s="35" t="s">
        <v>501</v>
      </c>
      <c r="D149" s="35">
        <v>13957875054</v>
      </c>
      <c r="E149" s="35" t="s">
        <v>168</v>
      </c>
      <c r="F149" s="35" t="s">
        <v>189</v>
      </c>
      <c r="G149" s="35" t="s">
        <v>177</v>
      </c>
      <c r="H149" s="35" t="s">
        <v>162</v>
      </c>
      <c r="I149" s="35"/>
      <c r="J149" s="56">
        <v>46013.5</v>
      </c>
      <c r="K149" s="35" t="s">
        <v>287</v>
      </c>
      <c r="L149" s="35" t="s">
        <v>502</v>
      </c>
      <c r="M149" s="35"/>
      <c r="N149" s="35" t="s">
        <v>285</v>
      </c>
      <c r="O149" s="35">
        <v>89</v>
      </c>
      <c r="P149" s="121" t="s">
        <v>503</v>
      </c>
      <c r="Q149" s="35"/>
      <c r="R149" s="35"/>
      <c r="S149" s="35"/>
      <c r="T149" s="35"/>
      <c r="U149" s="35"/>
      <c r="V149" s="35"/>
    </row>
    <row r="150" spans="1:22">
      <c r="A150" s="35">
        <v>147</v>
      </c>
      <c r="B150" s="36">
        <v>46012</v>
      </c>
      <c r="C150" s="35" t="s">
        <v>504</v>
      </c>
      <c r="D150" s="35">
        <v>18368008636</v>
      </c>
      <c r="E150" s="35" t="s">
        <v>168</v>
      </c>
      <c r="F150" s="35" t="s">
        <v>396</v>
      </c>
      <c r="G150" s="35" t="s">
        <v>170</v>
      </c>
      <c r="H150" s="35" t="s">
        <v>162</v>
      </c>
      <c r="I150" s="35" t="s">
        <v>505</v>
      </c>
      <c r="J150" s="56">
        <v>46012.6875</v>
      </c>
      <c r="K150" s="35" t="s">
        <v>171</v>
      </c>
      <c r="L150" s="35" t="s">
        <v>210</v>
      </c>
      <c r="M150" s="35"/>
      <c r="N150" s="35"/>
      <c r="O150" s="35"/>
      <c r="P150" s="35"/>
      <c r="Q150" s="35" t="s">
        <v>506</v>
      </c>
      <c r="R150" s="35">
        <v>199</v>
      </c>
      <c r="S150" s="35"/>
      <c r="T150" s="35"/>
      <c r="U150" s="35"/>
      <c r="V150" s="35"/>
    </row>
    <row r="151" spans="1:22">
      <c r="A151" s="35">
        <v>148</v>
      </c>
      <c r="B151" s="36">
        <v>46013</v>
      </c>
      <c r="C151" s="35" t="s">
        <v>507</v>
      </c>
      <c r="D151" s="35">
        <v>13467686752</v>
      </c>
      <c r="E151" s="35" t="s">
        <v>168</v>
      </c>
      <c r="F151" s="35" t="s">
        <v>189</v>
      </c>
      <c r="G151" s="35" t="s">
        <v>211</v>
      </c>
      <c r="H151" s="35" t="s">
        <v>162</v>
      </c>
      <c r="I151" s="35" t="s">
        <v>321</v>
      </c>
      <c r="J151" s="56">
        <v>46013.8020833333</v>
      </c>
      <c r="K151" s="35" t="s">
        <v>171</v>
      </c>
      <c r="L151" s="35" t="s">
        <v>300</v>
      </c>
      <c r="M151" s="35"/>
      <c r="N151" s="35" t="s">
        <v>387</v>
      </c>
      <c r="O151" s="35">
        <v>79</v>
      </c>
      <c r="P151" s="121" t="s">
        <v>508</v>
      </c>
      <c r="Q151" s="35"/>
      <c r="R151" s="35"/>
      <c r="S151" s="35"/>
      <c r="T151" s="35"/>
      <c r="U151" s="35"/>
      <c r="V151" s="35"/>
    </row>
    <row r="152" spans="1:22">
      <c r="A152" s="35">
        <v>149</v>
      </c>
      <c r="B152" s="36">
        <v>46014</v>
      </c>
      <c r="C152" s="35" t="s">
        <v>445</v>
      </c>
      <c r="D152" s="35">
        <v>15757136531</v>
      </c>
      <c r="E152" s="35" t="s">
        <v>168</v>
      </c>
      <c r="F152" s="35" t="s">
        <v>169</v>
      </c>
      <c r="G152" s="35" t="s">
        <v>177</v>
      </c>
      <c r="H152" s="35" t="s">
        <v>162</v>
      </c>
      <c r="I152" s="35"/>
      <c r="J152" s="56">
        <v>46016.5</v>
      </c>
      <c r="K152" s="35" t="s">
        <v>171</v>
      </c>
      <c r="L152" s="35" t="s">
        <v>435</v>
      </c>
      <c r="M152" s="35"/>
      <c r="N152" s="35" t="s">
        <v>486</v>
      </c>
      <c r="O152" s="35">
        <v>199</v>
      </c>
      <c r="P152" s="35"/>
      <c r="Q152" s="35"/>
      <c r="R152" s="35"/>
      <c r="S152" s="35"/>
      <c r="T152" s="35"/>
      <c r="U152" s="35"/>
      <c r="V152" s="35"/>
    </row>
    <row r="153" spans="1:22">
      <c r="A153" s="35">
        <v>150</v>
      </c>
      <c r="B153" s="36">
        <v>46014</v>
      </c>
      <c r="C153" s="35" t="s">
        <v>509</v>
      </c>
      <c r="D153" s="35">
        <v>15900611736</v>
      </c>
      <c r="E153" s="35" t="s">
        <v>178</v>
      </c>
      <c r="F153" s="35" t="s">
        <v>189</v>
      </c>
      <c r="G153" s="35" t="s">
        <v>170</v>
      </c>
      <c r="H153" s="35" t="s">
        <v>162</v>
      </c>
      <c r="I153" s="35"/>
      <c r="J153" s="56">
        <v>46016.5034722222</v>
      </c>
      <c r="K153" s="35" t="s">
        <v>510</v>
      </c>
      <c r="L153" s="35" t="s">
        <v>300</v>
      </c>
      <c r="M153" s="35"/>
      <c r="N153" s="35" t="s">
        <v>335</v>
      </c>
      <c r="O153" s="35">
        <v>69</v>
      </c>
      <c r="P153" s="121" t="s">
        <v>511</v>
      </c>
      <c r="Q153" s="35"/>
      <c r="R153" s="35"/>
      <c r="S153" s="35"/>
      <c r="T153" s="35"/>
      <c r="U153" s="35"/>
      <c r="V153" s="35"/>
    </row>
    <row r="154" spans="1:22">
      <c r="A154" s="35">
        <v>151</v>
      </c>
      <c r="B154" s="36">
        <v>46014</v>
      </c>
      <c r="C154" s="35" t="s">
        <v>512</v>
      </c>
      <c r="D154" s="35">
        <v>13645749907</v>
      </c>
      <c r="E154" s="35" t="s">
        <v>168</v>
      </c>
      <c r="F154" s="35" t="s">
        <v>189</v>
      </c>
      <c r="G154" s="35"/>
      <c r="H154" s="35" t="s">
        <v>200</v>
      </c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</row>
    <row r="155" ht="47.25" spans="1:22">
      <c r="A155" s="35">
        <v>152</v>
      </c>
      <c r="B155" s="36">
        <v>46015</v>
      </c>
      <c r="C155" s="35" t="s">
        <v>284</v>
      </c>
      <c r="D155" s="35">
        <v>13819815500</v>
      </c>
      <c r="E155" s="35" t="s">
        <v>178</v>
      </c>
      <c r="F155" s="35" t="s">
        <v>189</v>
      </c>
      <c r="G155" s="35" t="s">
        <v>210</v>
      </c>
      <c r="H155" s="35" t="s">
        <v>162</v>
      </c>
      <c r="I155" s="35" t="s">
        <v>513</v>
      </c>
      <c r="J155" s="56">
        <v>46015.5</v>
      </c>
      <c r="K155" s="35" t="s">
        <v>178</v>
      </c>
      <c r="L155" s="35" t="s">
        <v>177</v>
      </c>
      <c r="M155" s="35"/>
      <c r="N155" s="35" t="s">
        <v>493</v>
      </c>
      <c r="O155" s="35">
        <v>199</v>
      </c>
      <c r="P155" s="38" t="s">
        <v>514</v>
      </c>
      <c r="Q155" s="35"/>
      <c r="R155" s="35"/>
      <c r="S155" s="35"/>
      <c r="T155" s="35"/>
      <c r="U155" s="35"/>
      <c r="V155" s="35"/>
    </row>
    <row r="156" spans="1:22">
      <c r="A156" s="35">
        <v>153</v>
      </c>
      <c r="B156" s="36">
        <v>46016</v>
      </c>
      <c r="C156" s="35" t="s">
        <v>515</v>
      </c>
      <c r="D156" s="35">
        <v>18260952128</v>
      </c>
      <c r="E156" s="35" t="s">
        <v>516</v>
      </c>
      <c r="F156" s="35" t="s">
        <v>189</v>
      </c>
      <c r="G156" s="35" t="s">
        <v>177</v>
      </c>
      <c r="H156" s="35" t="s">
        <v>162</v>
      </c>
      <c r="I156" s="35"/>
      <c r="J156" s="56">
        <v>46016.75</v>
      </c>
      <c r="K156" s="35" t="s">
        <v>517</v>
      </c>
      <c r="L156" s="35" t="s">
        <v>170</v>
      </c>
      <c r="M156" s="35"/>
      <c r="N156" s="35" t="s">
        <v>335</v>
      </c>
      <c r="O156" s="35">
        <v>69</v>
      </c>
      <c r="P156" s="121" t="s">
        <v>518</v>
      </c>
      <c r="Q156" s="35"/>
      <c r="R156" s="35"/>
      <c r="S156" s="35"/>
      <c r="T156" s="35"/>
      <c r="U156" s="35"/>
      <c r="V156" s="35"/>
    </row>
    <row r="157" spans="1:22">
      <c r="A157" s="35">
        <v>154</v>
      </c>
      <c r="B157" s="36">
        <v>46017</v>
      </c>
      <c r="C157" s="35" t="s">
        <v>519</v>
      </c>
      <c r="D157" s="35">
        <v>18768122755</v>
      </c>
      <c r="E157" s="35" t="s">
        <v>168</v>
      </c>
      <c r="F157" s="35" t="s">
        <v>189</v>
      </c>
      <c r="G157" s="35"/>
      <c r="H157" s="35" t="s">
        <v>200</v>
      </c>
      <c r="I157" s="35"/>
      <c r="J157" s="56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</row>
    <row r="158" spans="1:22">
      <c r="A158" s="35">
        <v>155</v>
      </c>
      <c r="B158" s="36">
        <v>46018</v>
      </c>
      <c r="C158" s="35" t="s">
        <v>520</v>
      </c>
      <c r="D158" s="35">
        <v>13216634766</v>
      </c>
      <c r="E158" s="35" t="s">
        <v>521</v>
      </c>
      <c r="F158" s="35" t="s">
        <v>169</v>
      </c>
      <c r="G158" s="35" t="s">
        <v>210</v>
      </c>
      <c r="H158" s="35" t="s">
        <v>162</v>
      </c>
      <c r="I158" s="35"/>
      <c r="J158" s="56">
        <v>46025.6041666667</v>
      </c>
      <c r="K158" s="35" t="s">
        <v>196</v>
      </c>
      <c r="L158" s="35" t="s">
        <v>190</v>
      </c>
      <c r="M158" s="35"/>
      <c r="N158" s="35" t="s">
        <v>522</v>
      </c>
      <c r="O158" s="35">
        <v>119</v>
      </c>
      <c r="P158" s="121" t="s">
        <v>523</v>
      </c>
      <c r="Q158" s="35"/>
      <c r="R158" s="35"/>
      <c r="S158" s="35"/>
      <c r="T158" s="35"/>
      <c r="U158" s="35"/>
      <c r="V158" s="35"/>
    </row>
    <row r="159" spans="1:22">
      <c r="A159" s="35">
        <v>156</v>
      </c>
      <c r="B159" s="36">
        <v>46018</v>
      </c>
      <c r="C159" s="35" t="s">
        <v>524</v>
      </c>
      <c r="D159" s="35">
        <v>15157661853</v>
      </c>
      <c r="E159" s="35" t="s">
        <v>525</v>
      </c>
      <c r="F159" s="35" t="s">
        <v>189</v>
      </c>
      <c r="G159" s="35"/>
      <c r="H159" s="35" t="s">
        <v>200</v>
      </c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</row>
    <row r="160" s="20" customFormat="1" spans="1:22">
      <c r="A160" s="53">
        <v>157</v>
      </c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</row>
    <row r="161" spans="1:22">
      <c r="A161" s="35">
        <v>158</v>
      </c>
      <c r="B161" s="36">
        <v>46023</v>
      </c>
      <c r="C161" s="35" t="s">
        <v>526</v>
      </c>
      <c r="D161" s="35">
        <v>15888036223</v>
      </c>
      <c r="E161" s="35" t="s">
        <v>168</v>
      </c>
      <c r="F161" s="35" t="s">
        <v>189</v>
      </c>
      <c r="G161" s="35" t="s">
        <v>211</v>
      </c>
      <c r="H161" s="35" t="s">
        <v>162</v>
      </c>
      <c r="I161" s="35"/>
      <c r="J161" s="56">
        <v>46024.6041666667</v>
      </c>
      <c r="K161" s="35" t="s">
        <v>527</v>
      </c>
      <c r="L161" s="35" t="s">
        <v>170</v>
      </c>
      <c r="M161" s="35" t="s">
        <v>162</v>
      </c>
      <c r="N161" s="35" t="s">
        <v>390</v>
      </c>
      <c r="O161" s="35">
        <v>189.05</v>
      </c>
      <c r="P161" s="121" t="s">
        <v>528</v>
      </c>
      <c r="Q161" s="35" t="s">
        <v>529</v>
      </c>
      <c r="R161" s="35">
        <v>1980</v>
      </c>
      <c r="S161" s="35"/>
      <c r="T161" s="35"/>
      <c r="U161" s="35"/>
      <c r="V161" s="35"/>
    </row>
    <row r="162" spans="1:22">
      <c r="A162" s="35">
        <v>159</v>
      </c>
      <c r="B162" s="36">
        <v>46023</v>
      </c>
      <c r="C162" s="35" t="s">
        <v>530</v>
      </c>
      <c r="D162" s="35">
        <v>15888037117</v>
      </c>
      <c r="E162" s="35" t="s">
        <v>195</v>
      </c>
      <c r="F162" s="35" t="s">
        <v>189</v>
      </c>
      <c r="G162" s="35" t="s">
        <v>177</v>
      </c>
      <c r="H162" s="35" t="s">
        <v>162</v>
      </c>
      <c r="I162" s="35"/>
      <c r="J162" s="56">
        <v>46025.5625</v>
      </c>
      <c r="K162" s="35" t="s">
        <v>296</v>
      </c>
      <c r="L162" s="35" t="s">
        <v>211</v>
      </c>
      <c r="M162" s="35"/>
      <c r="N162" s="35" t="s">
        <v>531</v>
      </c>
      <c r="O162" s="35">
        <v>247</v>
      </c>
      <c r="P162" s="121" t="s">
        <v>532</v>
      </c>
      <c r="Q162" s="35"/>
      <c r="R162" s="35"/>
      <c r="S162" s="35"/>
      <c r="T162" s="35"/>
      <c r="U162" s="35"/>
      <c r="V162" s="35"/>
    </row>
    <row r="163" spans="1:22">
      <c r="A163" s="35">
        <v>160</v>
      </c>
      <c r="B163" s="36">
        <v>46024</v>
      </c>
      <c r="C163" s="35" t="s">
        <v>533</v>
      </c>
      <c r="D163" s="35">
        <v>13605884103</v>
      </c>
      <c r="E163" s="35" t="s">
        <v>168</v>
      </c>
      <c r="F163" s="35" t="s">
        <v>189</v>
      </c>
      <c r="G163" s="35"/>
      <c r="H163" s="35" t="s">
        <v>200</v>
      </c>
      <c r="I163" s="35" t="s">
        <v>534</v>
      </c>
      <c r="J163" s="56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</row>
    <row r="164" spans="1:22">
      <c r="A164" s="35">
        <v>161</v>
      </c>
      <c r="B164" s="36">
        <v>46025</v>
      </c>
      <c r="C164" s="35" t="s">
        <v>535</v>
      </c>
      <c r="D164" s="35">
        <v>18681359580</v>
      </c>
      <c r="E164" s="35" t="s">
        <v>168</v>
      </c>
      <c r="F164" s="35" t="s">
        <v>169</v>
      </c>
      <c r="G164" s="35"/>
      <c r="H164" s="35" t="s">
        <v>200</v>
      </c>
      <c r="I164" s="35" t="s">
        <v>534</v>
      </c>
      <c r="J164" s="56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</row>
    <row r="165" spans="1:22">
      <c r="A165" s="35">
        <v>162</v>
      </c>
      <c r="B165" s="36">
        <v>46028</v>
      </c>
      <c r="C165" s="35" t="s">
        <v>536</v>
      </c>
      <c r="D165" s="35">
        <v>15258585502</v>
      </c>
      <c r="E165" s="35" t="s">
        <v>451</v>
      </c>
      <c r="F165" s="35" t="s">
        <v>189</v>
      </c>
      <c r="G165" s="35" t="s">
        <v>210</v>
      </c>
      <c r="H165" s="35" t="s">
        <v>162</v>
      </c>
      <c r="I165" s="35"/>
      <c r="J165" s="56">
        <v>46029.625</v>
      </c>
      <c r="K165" s="35" t="s">
        <v>434</v>
      </c>
      <c r="L165" s="35" t="s">
        <v>170</v>
      </c>
      <c r="M165" s="35" t="s">
        <v>162</v>
      </c>
      <c r="N165" s="35" t="s">
        <v>436</v>
      </c>
      <c r="O165" s="35">
        <v>299</v>
      </c>
      <c r="P165" s="121" t="s">
        <v>537</v>
      </c>
      <c r="Q165" s="35" t="s">
        <v>538</v>
      </c>
      <c r="R165" s="35">
        <v>5705</v>
      </c>
      <c r="S165" s="35"/>
      <c r="T165" s="35"/>
      <c r="U165" s="35"/>
      <c r="V165" s="35"/>
    </row>
    <row r="166" spans="1:22">
      <c r="A166" s="35">
        <v>163</v>
      </c>
      <c r="B166" s="36">
        <v>46028</v>
      </c>
      <c r="C166" s="35" t="s">
        <v>539</v>
      </c>
      <c r="D166" s="35">
        <v>18606003171</v>
      </c>
      <c r="E166" s="35" t="s">
        <v>159</v>
      </c>
      <c r="F166" s="35" t="s">
        <v>189</v>
      </c>
      <c r="G166" s="35" t="s">
        <v>211</v>
      </c>
      <c r="H166" s="35" t="s">
        <v>162</v>
      </c>
      <c r="I166" s="35"/>
      <c r="J166" s="56">
        <v>46029.5833333333</v>
      </c>
      <c r="K166" s="35" t="s">
        <v>296</v>
      </c>
      <c r="L166" s="35" t="s">
        <v>211</v>
      </c>
      <c r="M166" s="35" t="s">
        <v>162</v>
      </c>
      <c r="N166" s="35" t="s">
        <v>531</v>
      </c>
      <c r="O166" s="35">
        <v>247</v>
      </c>
      <c r="P166" s="121" t="s">
        <v>540</v>
      </c>
      <c r="Q166" s="35" t="s">
        <v>529</v>
      </c>
      <c r="R166" s="35">
        <v>3366</v>
      </c>
      <c r="S166" s="35"/>
      <c r="T166" s="35"/>
      <c r="U166" s="35"/>
      <c r="V166" s="35"/>
    </row>
    <row r="167" ht="47.25" spans="1:22">
      <c r="A167" s="35">
        <v>164</v>
      </c>
      <c r="B167" s="36">
        <v>46028</v>
      </c>
      <c r="C167" s="35" t="s">
        <v>541</v>
      </c>
      <c r="D167" s="35">
        <v>15157661853</v>
      </c>
      <c r="E167" s="35" t="s">
        <v>525</v>
      </c>
      <c r="F167" s="35" t="s">
        <v>189</v>
      </c>
      <c r="G167" s="35" t="s">
        <v>211</v>
      </c>
      <c r="H167" s="35" t="s">
        <v>162</v>
      </c>
      <c r="I167" s="35"/>
      <c r="J167" s="56">
        <v>46033.6875</v>
      </c>
      <c r="K167" s="35" t="s">
        <v>171</v>
      </c>
      <c r="L167" s="35" t="s">
        <v>211</v>
      </c>
      <c r="M167" s="35"/>
      <c r="N167" s="35" t="s">
        <v>493</v>
      </c>
      <c r="O167" s="35">
        <v>199</v>
      </c>
      <c r="P167" s="38" t="s">
        <v>542</v>
      </c>
      <c r="Q167" s="35"/>
      <c r="R167" s="35"/>
      <c r="S167" s="35"/>
      <c r="T167" s="35"/>
      <c r="U167" s="35"/>
      <c r="V167" s="35"/>
    </row>
    <row r="168" spans="1:22">
      <c r="A168" s="35">
        <v>165</v>
      </c>
      <c r="B168" s="36">
        <v>46029</v>
      </c>
      <c r="C168" s="35" t="s">
        <v>246</v>
      </c>
      <c r="D168" s="35">
        <v>13858268939</v>
      </c>
      <c r="E168" s="35" t="s">
        <v>543</v>
      </c>
      <c r="F168" s="35" t="s">
        <v>189</v>
      </c>
      <c r="G168" s="35" t="s">
        <v>177</v>
      </c>
      <c r="H168" s="35" t="s">
        <v>162</v>
      </c>
      <c r="I168" s="35" t="s">
        <v>544</v>
      </c>
      <c r="J168" s="56">
        <v>46034.5833333333</v>
      </c>
      <c r="K168" s="35" t="s">
        <v>545</v>
      </c>
      <c r="L168" s="35" t="s">
        <v>177</v>
      </c>
      <c r="M168" s="35"/>
      <c r="N168" s="35" t="s">
        <v>546</v>
      </c>
      <c r="O168" s="35">
        <v>189.05</v>
      </c>
      <c r="P168" s="121" t="s">
        <v>547</v>
      </c>
      <c r="Q168" s="35"/>
      <c r="R168" s="35"/>
      <c r="S168" s="35"/>
      <c r="T168" s="35"/>
      <c r="U168" s="35"/>
      <c r="V168" s="35"/>
    </row>
    <row r="169" spans="1:22">
      <c r="A169" s="35">
        <v>166</v>
      </c>
      <c r="B169" s="36">
        <v>46029</v>
      </c>
      <c r="C169" s="35" t="s">
        <v>548</v>
      </c>
      <c r="D169" s="35">
        <v>13516962699</v>
      </c>
      <c r="E169" s="35" t="s">
        <v>315</v>
      </c>
      <c r="F169" s="35" t="s">
        <v>169</v>
      </c>
      <c r="G169" s="35"/>
      <c r="H169" s="35" t="s">
        <v>200</v>
      </c>
      <c r="I169" s="35" t="s">
        <v>549</v>
      </c>
      <c r="J169" s="56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</row>
    <row r="170" spans="1:22">
      <c r="A170" s="35">
        <v>167</v>
      </c>
      <c r="B170" s="36">
        <v>46030</v>
      </c>
      <c r="C170" s="35" t="s">
        <v>317</v>
      </c>
      <c r="D170" s="35">
        <v>18655115756</v>
      </c>
      <c r="E170" s="35" t="s">
        <v>550</v>
      </c>
      <c r="F170" s="35" t="s">
        <v>169</v>
      </c>
      <c r="G170" s="35" t="s">
        <v>177</v>
      </c>
      <c r="H170" s="35" t="s">
        <v>162</v>
      </c>
      <c r="I170" s="35"/>
      <c r="J170" s="56">
        <v>46030.7569444444</v>
      </c>
      <c r="K170" s="35" t="s">
        <v>171</v>
      </c>
      <c r="L170" s="35" t="s">
        <v>211</v>
      </c>
      <c r="M170" s="35"/>
      <c r="N170" s="35" t="s">
        <v>486</v>
      </c>
      <c r="O170" s="35">
        <v>182.4</v>
      </c>
      <c r="P170" s="121" t="s">
        <v>551</v>
      </c>
      <c r="Q170" s="35"/>
      <c r="R170" s="35"/>
      <c r="S170" s="35"/>
      <c r="T170" s="35"/>
      <c r="U170" s="35"/>
      <c r="V170" s="35"/>
    </row>
    <row r="171" spans="1:22">
      <c r="A171" s="35">
        <v>168</v>
      </c>
      <c r="B171" s="36">
        <v>46030</v>
      </c>
      <c r="C171" s="35" t="s">
        <v>552</v>
      </c>
      <c r="D171" s="35">
        <v>13777090111</v>
      </c>
      <c r="E171" s="35" t="s">
        <v>168</v>
      </c>
      <c r="F171" s="35" t="s">
        <v>189</v>
      </c>
      <c r="G171" s="35"/>
      <c r="H171" s="35" t="s">
        <v>200</v>
      </c>
      <c r="I171" s="35" t="s">
        <v>549</v>
      </c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</row>
    <row r="172" spans="1:22">
      <c r="A172" s="35">
        <v>169</v>
      </c>
      <c r="B172" s="36">
        <v>46032</v>
      </c>
      <c r="C172" s="35" t="s">
        <v>553</v>
      </c>
      <c r="D172" s="35">
        <v>18860012897</v>
      </c>
      <c r="E172" s="35" t="s">
        <v>554</v>
      </c>
      <c r="F172" s="35" t="s">
        <v>189</v>
      </c>
      <c r="G172" s="35"/>
      <c r="H172" s="35" t="s">
        <v>200</v>
      </c>
      <c r="I172" s="35" t="s">
        <v>555</v>
      </c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</row>
    <row r="173" spans="1:22">
      <c r="A173" s="35">
        <v>170</v>
      </c>
      <c r="B173" s="36">
        <v>46034</v>
      </c>
      <c r="C173" s="35" t="s">
        <v>208</v>
      </c>
      <c r="D173" s="35">
        <v>13516962699</v>
      </c>
      <c r="E173" s="35" t="s">
        <v>315</v>
      </c>
      <c r="F173" s="35" t="s">
        <v>169</v>
      </c>
      <c r="G173" s="35" t="s">
        <v>211</v>
      </c>
      <c r="H173" s="35" t="s">
        <v>162</v>
      </c>
      <c r="I173" s="35"/>
      <c r="J173" s="56">
        <v>46037.4375</v>
      </c>
      <c r="K173" s="35" t="s">
        <v>196</v>
      </c>
      <c r="L173" s="35" t="s">
        <v>190</v>
      </c>
      <c r="M173" s="35"/>
      <c r="N173" s="35" t="s">
        <v>522</v>
      </c>
      <c r="O173" s="35">
        <v>91.67</v>
      </c>
      <c r="P173" s="121" t="s">
        <v>556</v>
      </c>
      <c r="Q173" s="35"/>
      <c r="R173" s="35"/>
      <c r="S173" s="35"/>
      <c r="T173" s="35"/>
      <c r="U173" s="35"/>
      <c r="V173" s="35"/>
    </row>
    <row r="174" spans="1:22">
      <c r="A174" s="35">
        <v>171</v>
      </c>
      <c r="B174" s="36">
        <v>46034</v>
      </c>
      <c r="C174" s="35" t="s">
        <v>557</v>
      </c>
      <c r="D174" s="35">
        <v>13738805924</v>
      </c>
      <c r="E174" s="35" t="s">
        <v>159</v>
      </c>
      <c r="F174" s="35" t="s">
        <v>189</v>
      </c>
      <c r="G174" s="35" t="s">
        <v>177</v>
      </c>
      <c r="H174" s="35" t="s">
        <v>162</v>
      </c>
      <c r="I174" s="51" t="s">
        <v>263</v>
      </c>
      <c r="J174" s="56">
        <v>46035.6041666667</v>
      </c>
      <c r="K174" s="35" t="s">
        <v>558</v>
      </c>
      <c r="L174" s="35" t="s">
        <v>170</v>
      </c>
      <c r="M174" s="35"/>
      <c r="N174" s="35" t="s">
        <v>486</v>
      </c>
      <c r="O174" s="35">
        <v>189.05</v>
      </c>
      <c r="P174" s="121" t="s">
        <v>559</v>
      </c>
      <c r="Q174" s="35"/>
      <c r="R174" s="35"/>
      <c r="S174" s="35"/>
      <c r="T174" s="35"/>
      <c r="U174" s="35"/>
      <c r="V174" s="35"/>
    </row>
    <row r="175" spans="1:22">
      <c r="A175" s="35">
        <v>172</v>
      </c>
      <c r="B175" s="36">
        <v>46034</v>
      </c>
      <c r="C175" s="35" t="s">
        <v>560</v>
      </c>
      <c r="D175" s="35">
        <v>15706293003</v>
      </c>
      <c r="E175" s="35" t="s">
        <v>159</v>
      </c>
      <c r="F175" s="35" t="s">
        <v>189</v>
      </c>
      <c r="G175" s="35" t="s">
        <v>177</v>
      </c>
      <c r="H175" s="35" t="s">
        <v>162</v>
      </c>
      <c r="I175" s="52"/>
      <c r="J175" s="56">
        <v>46035.6041666667</v>
      </c>
      <c r="K175" s="35" t="s">
        <v>558</v>
      </c>
      <c r="L175" s="35" t="s">
        <v>170</v>
      </c>
      <c r="M175" s="35"/>
      <c r="N175" s="35" t="s">
        <v>486</v>
      </c>
      <c r="O175" s="35">
        <v>182.4</v>
      </c>
      <c r="P175" s="121" t="s">
        <v>561</v>
      </c>
      <c r="Q175" s="35"/>
      <c r="R175" s="35"/>
      <c r="S175" s="35"/>
      <c r="T175" s="35"/>
      <c r="U175" s="35"/>
      <c r="V175" s="35"/>
    </row>
    <row r="176" spans="1:22">
      <c r="A176" s="35">
        <v>173</v>
      </c>
      <c r="B176" s="36">
        <v>46035</v>
      </c>
      <c r="C176" s="35" t="s">
        <v>562</v>
      </c>
      <c r="D176" s="35">
        <v>18768122755</v>
      </c>
      <c r="E176" s="35" t="s">
        <v>168</v>
      </c>
      <c r="F176" s="35" t="s">
        <v>189</v>
      </c>
      <c r="G176" s="35" t="s">
        <v>211</v>
      </c>
      <c r="H176" s="35" t="s">
        <v>162</v>
      </c>
      <c r="I176" s="35"/>
      <c r="J176" s="56">
        <v>46035.5034722222</v>
      </c>
      <c r="K176" s="35" t="s">
        <v>563</v>
      </c>
      <c r="L176" s="35" t="s">
        <v>170</v>
      </c>
      <c r="M176" s="35"/>
      <c r="N176" s="35" t="s">
        <v>486</v>
      </c>
      <c r="O176" s="35">
        <v>182.4</v>
      </c>
      <c r="P176" s="121" t="s">
        <v>564</v>
      </c>
      <c r="Q176" s="35"/>
      <c r="R176" s="35"/>
      <c r="S176" s="35"/>
      <c r="T176" s="35"/>
      <c r="U176" s="35"/>
      <c r="V176" s="35"/>
    </row>
    <row r="177" spans="1:22">
      <c r="A177" s="35">
        <v>174</v>
      </c>
      <c r="B177" s="36">
        <v>46035</v>
      </c>
      <c r="C177" s="35" t="s">
        <v>565</v>
      </c>
      <c r="D177" s="35">
        <v>15867818009</v>
      </c>
      <c r="E177" s="35" t="s">
        <v>295</v>
      </c>
      <c r="F177" s="35" t="s">
        <v>189</v>
      </c>
      <c r="G177" s="35" t="s">
        <v>177</v>
      </c>
      <c r="H177" s="35" t="s">
        <v>162</v>
      </c>
      <c r="I177" s="35" t="s">
        <v>566</v>
      </c>
      <c r="J177" s="56">
        <v>46041.8020833333</v>
      </c>
      <c r="K177" s="35" t="s">
        <v>567</v>
      </c>
      <c r="L177" s="35" t="s">
        <v>568</v>
      </c>
      <c r="M177" s="35"/>
      <c r="N177" s="35" t="s">
        <v>569</v>
      </c>
      <c r="O177" s="35">
        <v>35</v>
      </c>
      <c r="P177" s="121" t="s">
        <v>570</v>
      </c>
      <c r="Q177" s="35"/>
      <c r="R177" s="35"/>
      <c r="S177" s="35"/>
      <c r="T177" s="35"/>
      <c r="U177" s="35"/>
      <c r="V177" s="35"/>
    </row>
    <row r="178" spans="1:22">
      <c r="A178" s="35">
        <v>175</v>
      </c>
      <c r="B178" s="36">
        <v>46035</v>
      </c>
      <c r="C178" s="35" t="s">
        <v>571</v>
      </c>
      <c r="D178" s="35">
        <v>15888053382</v>
      </c>
      <c r="E178" s="35" t="s">
        <v>395</v>
      </c>
      <c r="F178" s="35" t="s">
        <v>189</v>
      </c>
      <c r="G178" s="35" t="s">
        <v>211</v>
      </c>
      <c r="H178" s="35" t="s">
        <v>162</v>
      </c>
      <c r="I178" s="35" t="s">
        <v>572</v>
      </c>
      <c r="J178" s="56">
        <v>46048.7916666667</v>
      </c>
      <c r="K178" s="35" t="s">
        <v>467</v>
      </c>
      <c r="L178" s="35" t="s">
        <v>170</v>
      </c>
      <c r="M178" s="35" t="s">
        <v>162</v>
      </c>
      <c r="N178" s="35" t="s">
        <v>573</v>
      </c>
      <c r="O178" s="35">
        <v>299</v>
      </c>
      <c r="P178" s="121" t="s">
        <v>574</v>
      </c>
      <c r="Q178" s="35" t="s">
        <v>575</v>
      </c>
      <c r="R178" s="35">
        <v>5370</v>
      </c>
      <c r="S178" s="35"/>
      <c r="T178" s="35"/>
      <c r="U178" s="35"/>
      <c r="V178" s="35"/>
    </row>
    <row r="179" spans="1:22">
      <c r="A179" s="35">
        <v>176</v>
      </c>
      <c r="B179" s="36">
        <v>46035</v>
      </c>
      <c r="C179" s="35" t="s">
        <v>576</v>
      </c>
      <c r="D179" s="35">
        <v>15727973592</v>
      </c>
      <c r="E179" s="35" t="s">
        <v>423</v>
      </c>
      <c r="F179" s="35" t="s">
        <v>189</v>
      </c>
      <c r="G179" s="35"/>
      <c r="H179" s="35" t="s">
        <v>200</v>
      </c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</row>
    <row r="180" spans="1:22">
      <c r="A180" s="35">
        <v>177</v>
      </c>
      <c r="B180" s="36">
        <v>46036</v>
      </c>
      <c r="C180" s="35" t="s">
        <v>577</v>
      </c>
      <c r="D180" s="35">
        <v>19560582004</v>
      </c>
      <c r="E180" s="35" t="s">
        <v>578</v>
      </c>
      <c r="F180" s="35" t="s">
        <v>189</v>
      </c>
      <c r="G180" s="35"/>
      <c r="H180" s="35" t="s">
        <v>200</v>
      </c>
      <c r="I180" s="35" t="s">
        <v>579</v>
      </c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</row>
    <row r="181" spans="1:22">
      <c r="A181" s="35">
        <v>178</v>
      </c>
      <c r="B181" s="36">
        <v>46036</v>
      </c>
      <c r="C181" s="35" t="s">
        <v>316</v>
      </c>
      <c r="D181" s="35">
        <v>13273114937</v>
      </c>
      <c r="E181" s="35" t="s">
        <v>159</v>
      </c>
      <c r="F181" s="35" t="s">
        <v>189</v>
      </c>
      <c r="G181" s="35"/>
      <c r="H181" s="35" t="s">
        <v>200</v>
      </c>
      <c r="I181" s="35" t="s">
        <v>580</v>
      </c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</row>
    <row r="182" spans="1:22">
      <c r="A182" s="35">
        <v>179</v>
      </c>
      <c r="B182" s="36">
        <v>46037</v>
      </c>
      <c r="C182" s="35" t="s">
        <v>560</v>
      </c>
      <c r="D182" s="35">
        <v>17826836814</v>
      </c>
      <c r="E182" s="35" t="s">
        <v>581</v>
      </c>
      <c r="F182" s="35" t="s">
        <v>189</v>
      </c>
      <c r="G182" s="35"/>
      <c r="H182" s="35" t="s">
        <v>200</v>
      </c>
      <c r="I182" s="35" t="s">
        <v>582</v>
      </c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</row>
    <row r="183" spans="1:22">
      <c r="A183" s="35">
        <v>180</v>
      </c>
      <c r="B183" s="36">
        <v>46038</v>
      </c>
      <c r="C183" s="35" t="s">
        <v>583</v>
      </c>
      <c r="D183" s="35">
        <v>13957805337</v>
      </c>
      <c r="E183" s="35" t="s">
        <v>584</v>
      </c>
      <c r="F183" s="35" t="s">
        <v>189</v>
      </c>
      <c r="G183" s="35"/>
      <c r="H183" s="35" t="s">
        <v>200</v>
      </c>
      <c r="I183" s="35" t="s">
        <v>534</v>
      </c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</row>
    <row r="184" spans="1:22">
      <c r="A184" s="35">
        <v>181</v>
      </c>
      <c r="B184" s="36">
        <v>46039</v>
      </c>
      <c r="C184" s="35" t="s">
        <v>585</v>
      </c>
      <c r="D184" s="35">
        <v>18069209905</v>
      </c>
      <c r="E184" s="35" t="s">
        <v>168</v>
      </c>
      <c r="F184" s="35" t="s">
        <v>169</v>
      </c>
      <c r="G184" s="35" t="s">
        <v>211</v>
      </c>
      <c r="H184" s="35" t="s">
        <v>162</v>
      </c>
      <c r="I184" s="35"/>
      <c r="J184" s="56">
        <v>46042.4375</v>
      </c>
      <c r="K184" s="35" t="s">
        <v>289</v>
      </c>
      <c r="L184" s="35" t="s">
        <v>211</v>
      </c>
      <c r="M184" s="35"/>
      <c r="N184" s="35" t="s">
        <v>226</v>
      </c>
      <c r="O184" s="35">
        <v>182.4</v>
      </c>
      <c r="P184" s="121" t="s">
        <v>586</v>
      </c>
      <c r="Q184" s="35"/>
      <c r="R184" s="35"/>
      <c r="S184" s="35"/>
      <c r="T184" s="35"/>
      <c r="U184" s="35"/>
      <c r="V184" s="35"/>
    </row>
    <row r="185" spans="1:22">
      <c r="A185" s="35">
        <v>182</v>
      </c>
      <c r="B185" s="36">
        <v>46041</v>
      </c>
      <c r="C185" s="35" t="s">
        <v>587</v>
      </c>
      <c r="D185" s="51">
        <v>13586832221</v>
      </c>
      <c r="E185" s="35" t="s">
        <v>315</v>
      </c>
      <c r="F185" s="35" t="s">
        <v>588</v>
      </c>
      <c r="G185" s="35" t="s">
        <v>210</v>
      </c>
      <c r="H185" s="35" t="s">
        <v>162</v>
      </c>
      <c r="I185" s="51" t="s">
        <v>263</v>
      </c>
      <c r="J185" s="56">
        <v>46041.5694444444</v>
      </c>
      <c r="K185" s="35" t="s">
        <v>428</v>
      </c>
      <c r="L185" s="35" t="s">
        <v>190</v>
      </c>
      <c r="M185" s="35"/>
      <c r="N185" s="51" t="s">
        <v>405</v>
      </c>
      <c r="O185" s="51">
        <v>368</v>
      </c>
      <c r="P185" s="123" t="s">
        <v>589</v>
      </c>
      <c r="Q185" s="35"/>
      <c r="R185" s="35"/>
      <c r="S185" s="35"/>
      <c r="T185" s="35"/>
      <c r="U185" s="35"/>
      <c r="V185" s="35"/>
    </row>
    <row r="186" spans="1:22">
      <c r="A186" s="35">
        <v>183</v>
      </c>
      <c r="B186" s="36">
        <v>46041</v>
      </c>
      <c r="C186" s="35" t="s">
        <v>590</v>
      </c>
      <c r="D186" s="52"/>
      <c r="E186" s="35" t="s">
        <v>315</v>
      </c>
      <c r="F186" s="35" t="s">
        <v>588</v>
      </c>
      <c r="G186" s="35" t="s">
        <v>210</v>
      </c>
      <c r="H186" s="35" t="s">
        <v>162</v>
      </c>
      <c r="I186" s="52"/>
      <c r="J186" s="56">
        <v>46041.5694444444</v>
      </c>
      <c r="K186" s="35" t="s">
        <v>428</v>
      </c>
      <c r="L186" s="35" t="s">
        <v>190</v>
      </c>
      <c r="M186" s="35"/>
      <c r="N186" s="52"/>
      <c r="O186" s="52"/>
      <c r="P186" s="52"/>
      <c r="Q186" s="35"/>
      <c r="R186" s="35"/>
      <c r="S186" s="35"/>
      <c r="T186" s="35"/>
      <c r="U186" s="35"/>
      <c r="V186" s="35"/>
    </row>
    <row r="187" ht="31.5" spans="1:22">
      <c r="A187" s="35">
        <v>184</v>
      </c>
      <c r="B187" s="36">
        <v>46042</v>
      </c>
      <c r="C187" s="35" t="s">
        <v>591</v>
      </c>
      <c r="D187" s="35">
        <v>18600753614</v>
      </c>
      <c r="E187" s="35" t="s">
        <v>188</v>
      </c>
      <c r="F187" s="38" t="s">
        <v>209</v>
      </c>
      <c r="G187" s="35" t="s">
        <v>210</v>
      </c>
      <c r="H187" s="35" t="s">
        <v>162</v>
      </c>
      <c r="I187" s="35" t="s">
        <v>592</v>
      </c>
      <c r="J187" s="35"/>
      <c r="K187" s="35"/>
      <c r="L187" s="35"/>
      <c r="M187" s="35" t="s">
        <v>162</v>
      </c>
      <c r="N187" s="35"/>
      <c r="O187" s="35"/>
      <c r="P187" s="35"/>
      <c r="Q187" s="35" t="s">
        <v>593</v>
      </c>
      <c r="R187" s="35">
        <v>3465</v>
      </c>
      <c r="S187" s="35"/>
      <c r="T187" s="35"/>
      <c r="U187" s="35"/>
      <c r="V187" s="35"/>
    </row>
    <row r="188" spans="1:22">
      <c r="A188" s="35">
        <v>185</v>
      </c>
      <c r="B188" s="36">
        <v>46042</v>
      </c>
      <c r="C188" s="35" t="s">
        <v>594</v>
      </c>
      <c r="D188" s="35">
        <v>18067500315</v>
      </c>
      <c r="E188" s="35" t="s">
        <v>595</v>
      </c>
      <c r="F188" s="35" t="s">
        <v>189</v>
      </c>
      <c r="G188" s="35" t="s">
        <v>210</v>
      </c>
      <c r="H188" s="35" t="s">
        <v>162</v>
      </c>
      <c r="I188" s="35"/>
      <c r="J188" s="56">
        <v>46042.4375</v>
      </c>
      <c r="K188" s="35" t="s">
        <v>296</v>
      </c>
      <c r="L188" s="35" t="s">
        <v>596</v>
      </c>
      <c r="M188" s="35"/>
      <c r="N188" s="35" t="s">
        <v>468</v>
      </c>
      <c r="O188" s="35">
        <v>399</v>
      </c>
      <c r="P188" s="35" t="s">
        <v>597</v>
      </c>
      <c r="Q188" s="35"/>
      <c r="R188" s="35"/>
      <c r="S188" s="35"/>
      <c r="T188" s="35"/>
      <c r="U188" s="35"/>
      <c r="V188" s="35"/>
    </row>
    <row r="189" spans="1:22">
      <c r="A189" s="35">
        <v>186</v>
      </c>
      <c r="B189" s="36">
        <v>46042</v>
      </c>
      <c r="C189" s="35" t="s">
        <v>598</v>
      </c>
      <c r="D189" s="35">
        <v>18246536199</v>
      </c>
      <c r="E189" s="35" t="s">
        <v>599</v>
      </c>
      <c r="F189" s="35" t="s">
        <v>189</v>
      </c>
      <c r="G189" s="35"/>
      <c r="H189" s="35" t="s">
        <v>200</v>
      </c>
      <c r="I189" s="35"/>
      <c r="J189" s="56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</row>
    <row r="190" spans="1:22">
      <c r="A190" s="35">
        <v>187</v>
      </c>
      <c r="B190" s="36">
        <v>46043</v>
      </c>
      <c r="C190" s="35" t="s">
        <v>600</v>
      </c>
      <c r="D190" s="35">
        <v>15057494221</v>
      </c>
      <c r="E190" s="35" t="s">
        <v>168</v>
      </c>
      <c r="F190" s="35" t="s">
        <v>189</v>
      </c>
      <c r="G190" s="35" t="s">
        <v>210</v>
      </c>
      <c r="H190" s="35" t="s">
        <v>162</v>
      </c>
      <c r="I190" s="35"/>
      <c r="J190" s="56">
        <v>46043.8020833333</v>
      </c>
      <c r="K190" s="35" t="s">
        <v>601</v>
      </c>
      <c r="L190" s="35" t="s">
        <v>343</v>
      </c>
      <c r="M190" s="35"/>
      <c r="N190" s="35" t="s">
        <v>335</v>
      </c>
      <c r="O190" s="35">
        <v>34</v>
      </c>
      <c r="P190" s="121" t="s">
        <v>602</v>
      </c>
      <c r="Q190" s="35"/>
      <c r="R190" s="35"/>
      <c r="S190" s="35"/>
      <c r="T190" s="35"/>
      <c r="U190" s="35"/>
      <c r="V190" s="35"/>
    </row>
    <row r="191" spans="1:22">
      <c r="A191" s="35">
        <v>188</v>
      </c>
      <c r="B191" s="36">
        <v>46043</v>
      </c>
      <c r="C191" s="35" t="s">
        <v>603</v>
      </c>
      <c r="D191" s="35"/>
      <c r="E191" s="35" t="s">
        <v>543</v>
      </c>
      <c r="F191" s="35" t="s">
        <v>189</v>
      </c>
      <c r="G191" s="35"/>
      <c r="H191" s="35" t="s">
        <v>200</v>
      </c>
      <c r="I191" s="35" t="s">
        <v>604</v>
      </c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</row>
    <row r="192" spans="1:22">
      <c r="A192" s="35">
        <v>189</v>
      </c>
      <c r="B192" s="36">
        <v>46045</v>
      </c>
      <c r="C192" s="35" t="s">
        <v>605</v>
      </c>
      <c r="D192" s="35"/>
      <c r="E192" s="35" t="s">
        <v>606</v>
      </c>
      <c r="F192" s="35" t="s">
        <v>607</v>
      </c>
      <c r="G192" s="35"/>
      <c r="H192" s="35" t="s">
        <v>200</v>
      </c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</row>
    <row r="193" spans="1:22">
      <c r="A193" s="35">
        <v>190</v>
      </c>
      <c r="B193" s="36">
        <v>46045</v>
      </c>
      <c r="C193" s="35" t="s">
        <v>608</v>
      </c>
      <c r="D193" s="35">
        <v>15067468201</v>
      </c>
      <c r="E193" s="35" t="s">
        <v>315</v>
      </c>
      <c r="F193" s="35" t="s">
        <v>169</v>
      </c>
      <c r="G193" s="35"/>
      <c r="H193" s="35" t="s">
        <v>200</v>
      </c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</row>
    <row r="194" spans="1:22">
      <c r="A194" s="35">
        <v>191</v>
      </c>
      <c r="B194" s="36">
        <v>46045</v>
      </c>
      <c r="C194" s="35" t="s">
        <v>609</v>
      </c>
      <c r="D194" s="35">
        <v>17098751666</v>
      </c>
      <c r="E194" s="35" t="s">
        <v>296</v>
      </c>
      <c r="F194" s="35" t="s">
        <v>189</v>
      </c>
      <c r="G194" s="35"/>
      <c r="H194" s="35" t="s">
        <v>200</v>
      </c>
      <c r="I194" s="35" t="s">
        <v>610</v>
      </c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</row>
    <row r="195" spans="1:22">
      <c r="A195" s="35">
        <v>192</v>
      </c>
      <c r="B195" s="36">
        <v>46048</v>
      </c>
      <c r="C195" s="35" t="s">
        <v>611</v>
      </c>
      <c r="D195" s="35">
        <v>18758816116</v>
      </c>
      <c r="E195" s="35" t="s">
        <v>584</v>
      </c>
      <c r="F195" s="35" t="s">
        <v>189</v>
      </c>
      <c r="G195" s="35"/>
      <c r="H195" s="35" t="s">
        <v>200</v>
      </c>
      <c r="I195" s="35" t="s">
        <v>612</v>
      </c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</row>
    <row r="196" spans="1:22">
      <c r="A196" s="35">
        <v>193</v>
      </c>
      <c r="B196" s="36">
        <v>46048</v>
      </c>
      <c r="C196" s="35" t="s">
        <v>613</v>
      </c>
      <c r="D196" s="35">
        <v>13780093335</v>
      </c>
      <c r="E196" s="35" t="s">
        <v>614</v>
      </c>
      <c r="F196" s="35" t="s">
        <v>189</v>
      </c>
      <c r="G196" s="35"/>
      <c r="H196" s="35" t="s">
        <v>200</v>
      </c>
      <c r="I196" s="35" t="s">
        <v>612</v>
      </c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</row>
    <row r="197" spans="1:22">
      <c r="A197" s="35">
        <v>194</v>
      </c>
      <c r="B197" s="36">
        <v>46048</v>
      </c>
      <c r="C197" s="35" t="s">
        <v>615</v>
      </c>
      <c r="D197" s="35">
        <v>19957452470</v>
      </c>
      <c r="E197" s="35" t="s">
        <v>434</v>
      </c>
      <c r="F197" s="35" t="s">
        <v>189</v>
      </c>
      <c r="G197" s="35" t="s">
        <v>177</v>
      </c>
      <c r="H197" s="35" t="s">
        <v>162</v>
      </c>
      <c r="I197" s="35"/>
      <c r="J197" s="56">
        <v>46054.4375</v>
      </c>
      <c r="K197" s="35" t="s">
        <v>434</v>
      </c>
      <c r="L197" s="35" t="s">
        <v>211</v>
      </c>
      <c r="M197" s="35" t="s">
        <v>162</v>
      </c>
      <c r="N197" s="35" t="s">
        <v>436</v>
      </c>
      <c r="O197" s="35">
        <v>287</v>
      </c>
      <c r="P197" s="121" t="s">
        <v>616</v>
      </c>
      <c r="Q197" s="35" t="s">
        <v>617</v>
      </c>
      <c r="R197" s="35">
        <v>13140</v>
      </c>
      <c r="S197" s="35"/>
      <c r="T197" s="35"/>
      <c r="U197" s="35"/>
      <c r="V197" s="35"/>
    </row>
    <row r="198" spans="1:22">
      <c r="A198" s="35">
        <v>195</v>
      </c>
      <c r="B198" s="36">
        <v>46048</v>
      </c>
      <c r="C198" s="35" t="s">
        <v>618</v>
      </c>
      <c r="D198" s="35">
        <v>13777020089</v>
      </c>
      <c r="E198" s="35" t="s">
        <v>168</v>
      </c>
      <c r="F198" s="35" t="s">
        <v>169</v>
      </c>
      <c r="G198" s="35" t="s">
        <v>210</v>
      </c>
      <c r="H198" s="35" t="s">
        <v>162</v>
      </c>
      <c r="I198" s="35"/>
      <c r="J198" s="56">
        <v>46048.8020833333</v>
      </c>
      <c r="K198" s="35" t="s">
        <v>171</v>
      </c>
      <c r="L198" s="35" t="s">
        <v>300</v>
      </c>
      <c r="M198" s="35"/>
      <c r="N198" s="35" t="s">
        <v>619</v>
      </c>
      <c r="O198" s="35">
        <v>63.02</v>
      </c>
      <c r="P198" s="121" t="s">
        <v>620</v>
      </c>
      <c r="Q198" s="35"/>
      <c r="R198" s="35"/>
      <c r="S198" s="35"/>
      <c r="T198" s="35"/>
      <c r="U198" s="35"/>
      <c r="V198" s="35"/>
    </row>
    <row r="199" spans="1:22">
      <c r="A199" s="35">
        <v>196</v>
      </c>
      <c r="B199" s="36">
        <v>46052</v>
      </c>
      <c r="C199" s="35" t="s">
        <v>208</v>
      </c>
      <c r="D199" s="35">
        <v>13586560219</v>
      </c>
      <c r="E199" s="35" t="s">
        <v>621</v>
      </c>
      <c r="F199" s="35" t="s">
        <v>169</v>
      </c>
      <c r="G199" s="35" t="s">
        <v>210</v>
      </c>
      <c r="H199" s="35" t="s">
        <v>162</v>
      </c>
      <c r="I199" s="35"/>
      <c r="J199" s="56">
        <v>46053.75</v>
      </c>
      <c r="K199" s="35" t="s">
        <v>567</v>
      </c>
      <c r="L199" s="35" t="s">
        <v>568</v>
      </c>
      <c r="M199" s="35"/>
      <c r="N199" s="35" t="s">
        <v>622</v>
      </c>
      <c r="O199" s="35">
        <v>30.4</v>
      </c>
      <c r="P199" s="121" t="s">
        <v>623</v>
      </c>
      <c r="Q199" s="35"/>
      <c r="R199" s="35"/>
      <c r="S199" s="35"/>
      <c r="T199" s="35"/>
      <c r="U199" s="35"/>
      <c r="V199" s="35"/>
    </row>
    <row r="200" s="18" customFormat="1" spans="1:22">
      <c r="A200" s="41">
        <v>197</v>
      </c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</row>
    <row r="201" spans="1:22">
      <c r="A201" s="35">
        <v>198</v>
      </c>
      <c r="B201" s="36">
        <v>46054</v>
      </c>
      <c r="C201" s="35" t="s">
        <v>624</v>
      </c>
      <c r="D201" s="35">
        <v>13957805337</v>
      </c>
      <c r="E201" s="35" t="s">
        <v>423</v>
      </c>
      <c r="F201" s="35" t="s">
        <v>169</v>
      </c>
      <c r="G201" s="35" t="s">
        <v>211</v>
      </c>
      <c r="H201" s="35" t="s">
        <v>162</v>
      </c>
      <c r="I201" s="35"/>
      <c r="J201" s="56">
        <v>46055.5034722222</v>
      </c>
      <c r="K201" s="35" t="s">
        <v>625</v>
      </c>
      <c r="L201" s="35" t="s">
        <v>210</v>
      </c>
      <c r="M201" s="35" t="s">
        <v>162</v>
      </c>
      <c r="N201" s="35" t="s">
        <v>626</v>
      </c>
      <c r="O201" s="35">
        <v>182.4</v>
      </c>
      <c r="P201" s="121" t="s">
        <v>627</v>
      </c>
      <c r="Q201" s="35" t="s">
        <v>422</v>
      </c>
      <c r="R201" s="35">
        <v>2160</v>
      </c>
      <c r="S201" s="35" t="s">
        <v>628</v>
      </c>
      <c r="T201" s="35"/>
      <c r="U201" s="35"/>
      <c r="V201" s="35"/>
    </row>
    <row r="202" ht="47.25" spans="1:22">
      <c r="A202" s="35">
        <v>199</v>
      </c>
      <c r="B202" s="36">
        <v>46054</v>
      </c>
      <c r="C202" s="35" t="s">
        <v>325</v>
      </c>
      <c r="D202" s="35">
        <v>18248965601</v>
      </c>
      <c r="E202" s="35" t="s">
        <v>525</v>
      </c>
      <c r="F202" s="35" t="s">
        <v>189</v>
      </c>
      <c r="G202" s="35" t="s">
        <v>177</v>
      </c>
      <c r="H202" s="35" t="s">
        <v>162</v>
      </c>
      <c r="I202" s="35"/>
      <c r="J202" s="56">
        <v>46054.6875</v>
      </c>
      <c r="K202" s="35" t="s">
        <v>171</v>
      </c>
      <c r="L202" s="35" t="s">
        <v>211</v>
      </c>
      <c r="M202" s="35"/>
      <c r="N202" s="35" t="s">
        <v>493</v>
      </c>
      <c r="O202" s="35">
        <v>189.99</v>
      </c>
      <c r="P202" s="38" t="s">
        <v>629</v>
      </c>
      <c r="Q202" s="35"/>
      <c r="R202" s="35"/>
      <c r="S202" s="35"/>
      <c r="T202" s="35"/>
      <c r="U202" s="35"/>
      <c r="V202" s="35"/>
    </row>
    <row r="203" spans="1:22">
      <c r="A203" s="35">
        <v>200</v>
      </c>
      <c r="B203" s="36">
        <v>46054</v>
      </c>
      <c r="C203" s="35" t="s">
        <v>630</v>
      </c>
      <c r="D203" s="35">
        <v>13587081391</v>
      </c>
      <c r="E203" s="35" t="s">
        <v>168</v>
      </c>
      <c r="F203" s="35" t="s">
        <v>189</v>
      </c>
      <c r="G203" s="35" t="s">
        <v>210</v>
      </c>
      <c r="H203" s="35" t="s">
        <v>162</v>
      </c>
      <c r="I203" s="35"/>
      <c r="J203" s="56">
        <v>46055.5</v>
      </c>
      <c r="K203" s="35" t="s">
        <v>222</v>
      </c>
      <c r="L203" s="35" t="s">
        <v>177</v>
      </c>
      <c r="M203" s="35" t="s">
        <v>162</v>
      </c>
      <c r="N203" s="35" t="s">
        <v>335</v>
      </c>
      <c r="O203" s="35">
        <v>35</v>
      </c>
      <c r="P203" s="121" t="s">
        <v>631</v>
      </c>
      <c r="Q203" s="35" t="s">
        <v>632</v>
      </c>
      <c r="R203" s="35">
        <v>2243</v>
      </c>
      <c r="S203" s="35"/>
      <c r="T203" s="35"/>
      <c r="U203" s="35"/>
      <c r="V203" s="35"/>
    </row>
    <row r="204" spans="1:22">
      <c r="A204" s="35">
        <v>201</v>
      </c>
      <c r="B204" s="36">
        <v>46054</v>
      </c>
      <c r="C204" s="35" t="s">
        <v>633</v>
      </c>
      <c r="D204" s="35">
        <v>13777208155</v>
      </c>
      <c r="E204" s="35" t="s">
        <v>634</v>
      </c>
      <c r="F204" s="35" t="s">
        <v>189</v>
      </c>
      <c r="G204" s="35" t="s">
        <v>211</v>
      </c>
      <c r="H204" s="35" t="s">
        <v>162</v>
      </c>
      <c r="I204" s="35"/>
      <c r="J204" s="56">
        <v>46056.5</v>
      </c>
      <c r="K204" s="35" t="s">
        <v>567</v>
      </c>
      <c r="L204" s="35" t="s">
        <v>568</v>
      </c>
      <c r="M204" s="35" t="s">
        <v>162</v>
      </c>
      <c r="N204" s="35" t="s">
        <v>312</v>
      </c>
      <c r="O204" s="35">
        <v>77.9</v>
      </c>
      <c r="P204" s="121" t="s">
        <v>635</v>
      </c>
      <c r="Q204" s="35" t="s">
        <v>636</v>
      </c>
      <c r="R204" s="35">
        <v>3000</v>
      </c>
      <c r="S204" s="35"/>
      <c r="T204" s="35"/>
      <c r="U204" s="35"/>
      <c r="V204" s="35"/>
    </row>
    <row r="205" spans="1:22">
      <c r="A205" s="35">
        <v>202</v>
      </c>
      <c r="B205" s="36">
        <v>46056</v>
      </c>
      <c r="C205" s="35" t="s">
        <v>246</v>
      </c>
      <c r="D205" s="35">
        <v>13146247343</v>
      </c>
      <c r="E205" s="35" t="s">
        <v>168</v>
      </c>
      <c r="F205" s="35" t="s">
        <v>189</v>
      </c>
      <c r="G205" s="35" t="s">
        <v>210</v>
      </c>
      <c r="H205" s="35" t="s">
        <v>162</v>
      </c>
      <c r="I205" s="35" t="s">
        <v>474</v>
      </c>
      <c r="J205" s="56">
        <v>46056.8020833333</v>
      </c>
      <c r="K205" s="35" t="s">
        <v>637</v>
      </c>
      <c r="L205" s="35" t="s">
        <v>211</v>
      </c>
      <c r="M205" s="35"/>
      <c r="N205" s="35" t="s">
        <v>285</v>
      </c>
      <c r="O205" s="35">
        <v>85</v>
      </c>
      <c r="P205" s="121" t="s">
        <v>638</v>
      </c>
      <c r="Q205" s="35"/>
      <c r="R205" s="35"/>
      <c r="S205" s="35"/>
      <c r="T205" s="35"/>
      <c r="U205" s="35"/>
      <c r="V205" s="35"/>
    </row>
    <row r="206" spans="1:22">
      <c r="A206" s="35">
        <v>203</v>
      </c>
      <c r="B206" s="36">
        <v>46060</v>
      </c>
      <c r="C206" s="35" t="s">
        <v>639</v>
      </c>
      <c r="D206" s="35">
        <v>15011321066</v>
      </c>
      <c r="E206" s="35" t="s">
        <v>295</v>
      </c>
      <c r="F206" s="35" t="s">
        <v>189</v>
      </c>
      <c r="G206" s="35" t="s">
        <v>210</v>
      </c>
      <c r="H206" s="35" t="s">
        <v>162</v>
      </c>
      <c r="I206" s="35"/>
      <c r="J206" s="56">
        <v>46061.5</v>
      </c>
      <c r="K206" s="35" t="s">
        <v>640</v>
      </c>
      <c r="L206" s="35" t="s">
        <v>210</v>
      </c>
      <c r="M206" s="35"/>
      <c r="N206" s="35" t="s">
        <v>371</v>
      </c>
      <c r="O206" s="35">
        <v>220</v>
      </c>
      <c r="P206" s="121" t="s">
        <v>641</v>
      </c>
      <c r="Q206" s="35"/>
      <c r="R206" s="35"/>
      <c r="S206" s="35"/>
      <c r="T206" s="35"/>
      <c r="U206" s="35"/>
      <c r="V206" s="35"/>
    </row>
    <row r="207" spans="1:22">
      <c r="A207" s="35">
        <v>204</v>
      </c>
      <c r="B207" s="36">
        <v>46072</v>
      </c>
      <c r="C207" s="35" t="s">
        <v>642</v>
      </c>
      <c r="D207" s="35">
        <v>18868183006</v>
      </c>
      <c r="E207" s="35" t="s">
        <v>315</v>
      </c>
      <c r="F207" s="35" t="s">
        <v>189</v>
      </c>
      <c r="G207" s="35"/>
      <c r="H207" s="35" t="s">
        <v>200</v>
      </c>
      <c r="I207" s="35" t="s">
        <v>643</v>
      </c>
      <c r="J207" s="56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</row>
    <row r="208" ht="47.25" spans="1:22">
      <c r="A208" s="35">
        <v>205</v>
      </c>
      <c r="B208" s="36">
        <v>46078</v>
      </c>
      <c r="C208" s="35" t="s">
        <v>644</v>
      </c>
      <c r="D208" s="35">
        <v>13738866230</v>
      </c>
      <c r="E208" s="35" t="s">
        <v>645</v>
      </c>
      <c r="F208" s="35" t="s">
        <v>189</v>
      </c>
      <c r="G208" s="35" t="s">
        <v>211</v>
      </c>
      <c r="H208" s="35" t="s">
        <v>162</v>
      </c>
      <c r="I208" s="35"/>
      <c r="J208" s="56">
        <v>46079.4375</v>
      </c>
      <c r="K208" s="35" t="s">
        <v>171</v>
      </c>
      <c r="L208" s="35" t="s">
        <v>170</v>
      </c>
      <c r="M208" s="35" t="s">
        <v>162</v>
      </c>
      <c r="N208" s="35" t="s">
        <v>493</v>
      </c>
      <c r="O208" s="35">
        <v>189.99</v>
      </c>
      <c r="P208" s="38" t="s">
        <v>646</v>
      </c>
      <c r="Q208" s="35" t="s">
        <v>647</v>
      </c>
      <c r="R208" s="35">
        <v>3281</v>
      </c>
      <c r="S208" s="35"/>
      <c r="T208" s="35"/>
      <c r="U208" s="35"/>
      <c r="V208" s="35"/>
    </row>
    <row r="209" spans="1:22">
      <c r="A209" s="35">
        <v>206</v>
      </c>
      <c r="B209" s="36">
        <v>46078</v>
      </c>
      <c r="C209" s="35" t="s">
        <v>648</v>
      </c>
      <c r="D209" s="35"/>
      <c r="E209" s="35" t="s">
        <v>525</v>
      </c>
      <c r="F209" s="35" t="s">
        <v>189</v>
      </c>
      <c r="G209" s="35"/>
      <c r="H209" s="35" t="s">
        <v>200</v>
      </c>
      <c r="I209" s="35" t="s">
        <v>534</v>
      </c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</row>
    <row r="210" spans="1:22">
      <c r="A210" s="35">
        <v>207</v>
      </c>
      <c r="B210" s="36">
        <v>46079</v>
      </c>
      <c r="C210" s="35" t="s">
        <v>649</v>
      </c>
      <c r="D210" s="35">
        <v>18606680462</v>
      </c>
      <c r="E210" s="35" t="s">
        <v>650</v>
      </c>
      <c r="F210" s="35" t="s">
        <v>189</v>
      </c>
      <c r="G210" s="35"/>
      <c r="H210" s="35" t="s">
        <v>200</v>
      </c>
      <c r="I210" s="35" t="s">
        <v>651</v>
      </c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</row>
    <row r="211" spans="1:22">
      <c r="A211" s="35">
        <v>208</v>
      </c>
      <c r="B211" s="36">
        <v>46079</v>
      </c>
      <c r="C211" s="35" t="s">
        <v>652</v>
      </c>
      <c r="D211" s="35">
        <v>13285743582</v>
      </c>
      <c r="E211" s="35" t="s">
        <v>599</v>
      </c>
      <c r="F211" s="35" t="s">
        <v>189</v>
      </c>
      <c r="G211" s="35" t="s">
        <v>177</v>
      </c>
      <c r="H211" s="35" t="s">
        <v>162</v>
      </c>
      <c r="I211" s="35"/>
      <c r="J211" s="56">
        <v>46080.5</v>
      </c>
      <c r="K211" s="35" t="s">
        <v>653</v>
      </c>
      <c r="L211" s="35" t="s">
        <v>177</v>
      </c>
      <c r="M211" s="35" t="s">
        <v>162</v>
      </c>
      <c r="N211" s="35" t="s">
        <v>285</v>
      </c>
      <c r="O211" s="35">
        <v>89</v>
      </c>
      <c r="P211" s="121" t="s">
        <v>654</v>
      </c>
      <c r="Q211" s="38" t="s">
        <v>482</v>
      </c>
      <c r="R211" s="35">
        <v>2330</v>
      </c>
      <c r="S211" s="35"/>
      <c r="T211" s="35"/>
      <c r="U211" s="35"/>
      <c r="V211" s="35"/>
    </row>
    <row r="212" spans="1:22">
      <c r="A212" s="35">
        <v>209</v>
      </c>
      <c r="B212" s="36">
        <v>46080</v>
      </c>
      <c r="C212" s="35" t="s">
        <v>655</v>
      </c>
      <c r="D212" s="35">
        <v>13989319697</v>
      </c>
      <c r="E212" s="35" t="s">
        <v>315</v>
      </c>
      <c r="F212" s="35" t="s">
        <v>189</v>
      </c>
      <c r="G212" s="35"/>
      <c r="H212" s="35" t="s">
        <v>200</v>
      </c>
      <c r="I212" s="35" t="s">
        <v>549</v>
      </c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</row>
    <row r="213" spans="1:22">
      <c r="A213" s="35">
        <v>210</v>
      </c>
      <c r="B213" s="36">
        <v>46080</v>
      </c>
      <c r="C213" s="35" t="s">
        <v>656</v>
      </c>
      <c r="D213" s="35">
        <v>15825572702</v>
      </c>
      <c r="E213" s="35" t="s">
        <v>657</v>
      </c>
      <c r="F213" s="35" t="s">
        <v>189</v>
      </c>
      <c r="G213" s="35"/>
      <c r="H213" s="35" t="s">
        <v>200</v>
      </c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</row>
    <row r="214" spans="1:22">
      <c r="A214" s="35">
        <v>211</v>
      </c>
      <c r="B214" s="36">
        <v>46080</v>
      </c>
      <c r="C214" s="35" t="s">
        <v>658</v>
      </c>
      <c r="D214" s="35">
        <v>13805824177</v>
      </c>
      <c r="E214" s="35" t="s">
        <v>168</v>
      </c>
      <c r="F214" s="35" t="s">
        <v>189</v>
      </c>
      <c r="G214" s="35"/>
      <c r="H214" s="35" t="s">
        <v>200</v>
      </c>
      <c r="I214" s="35" t="s">
        <v>534</v>
      </c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</row>
    <row r="215" spans="1:22">
      <c r="A215" s="35">
        <v>212</v>
      </c>
      <c r="B215" s="36">
        <v>46081</v>
      </c>
      <c r="C215" s="35" t="s">
        <v>659</v>
      </c>
      <c r="D215" s="35">
        <v>15958255806</v>
      </c>
      <c r="E215" s="35" t="s">
        <v>660</v>
      </c>
      <c r="F215" s="35" t="s">
        <v>189</v>
      </c>
      <c r="G215" s="35"/>
      <c r="H215" s="35" t="s">
        <v>200</v>
      </c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</row>
    <row r="216" s="18" customFormat="1" spans="1:22">
      <c r="A216" s="41">
        <v>213</v>
      </c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</row>
    <row r="217" spans="1:22">
      <c r="A217" s="35">
        <v>214</v>
      </c>
      <c r="B217" s="36">
        <v>46083</v>
      </c>
      <c r="C217" s="35" t="s">
        <v>661</v>
      </c>
      <c r="D217" s="35">
        <v>18868183006</v>
      </c>
      <c r="E217" s="35" t="s">
        <v>315</v>
      </c>
      <c r="F217" s="35" t="s">
        <v>189</v>
      </c>
      <c r="G217" s="35" t="s">
        <v>211</v>
      </c>
      <c r="H217" s="35" t="s">
        <v>162</v>
      </c>
      <c r="I217" s="35"/>
      <c r="J217" s="56">
        <v>46084.4375</v>
      </c>
      <c r="K217" s="35" t="s">
        <v>196</v>
      </c>
      <c r="L217" s="35" t="s">
        <v>190</v>
      </c>
      <c r="M217" s="35" t="s">
        <v>162</v>
      </c>
      <c r="N217" s="35" t="s">
        <v>662</v>
      </c>
      <c r="O217" s="35">
        <v>113</v>
      </c>
      <c r="P217" s="121" t="s">
        <v>663</v>
      </c>
      <c r="Q217" s="38" t="s">
        <v>664</v>
      </c>
      <c r="R217" s="35">
        <v>1931.5</v>
      </c>
      <c r="S217" s="35"/>
      <c r="T217" s="35"/>
      <c r="U217" s="35"/>
      <c r="V217" s="35"/>
    </row>
    <row r="218" ht="31.5" spans="1:22">
      <c r="A218" s="35">
        <v>215</v>
      </c>
      <c r="B218" s="36">
        <v>46084</v>
      </c>
      <c r="C218" s="35" t="s">
        <v>665</v>
      </c>
      <c r="D218" s="35">
        <v>15558221099</v>
      </c>
      <c r="E218" s="35" t="s">
        <v>525</v>
      </c>
      <c r="F218" s="35" t="s">
        <v>189</v>
      </c>
      <c r="G218" s="35" t="s">
        <v>210</v>
      </c>
      <c r="H218" s="35" t="s">
        <v>162</v>
      </c>
      <c r="I218" s="35"/>
      <c r="J218" s="56">
        <v>46087.375</v>
      </c>
      <c r="K218" s="35" t="s">
        <v>171</v>
      </c>
      <c r="L218" s="35" t="s">
        <v>248</v>
      </c>
      <c r="M218" s="35"/>
      <c r="N218" s="35" t="s">
        <v>666</v>
      </c>
      <c r="O218" s="35">
        <v>130.18</v>
      </c>
      <c r="P218" s="122" t="s">
        <v>667</v>
      </c>
      <c r="Q218" s="35"/>
      <c r="R218" s="35"/>
      <c r="S218" s="35"/>
      <c r="T218" s="35"/>
      <c r="U218" s="35"/>
      <c r="V218" s="35"/>
    </row>
    <row r="219" spans="1:22">
      <c r="A219" s="35">
        <v>216</v>
      </c>
      <c r="B219" s="36">
        <v>46085</v>
      </c>
      <c r="C219" s="35" t="s">
        <v>668</v>
      </c>
      <c r="D219" s="35"/>
      <c r="E219" s="35" t="s">
        <v>195</v>
      </c>
      <c r="F219" s="35" t="s">
        <v>189</v>
      </c>
      <c r="G219" s="35"/>
      <c r="H219" s="35" t="s">
        <v>200</v>
      </c>
      <c r="I219" s="35" t="s">
        <v>534</v>
      </c>
      <c r="J219" s="56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</row>
    <row r="220" spans="1:22">
      <c r="A220" s="35">
        <v>217</v>
      </c>
      <c r="B220" s="36">
        <v>46087</v>
      </c>
      <c r="C220" s="35" t="s">
        <v>669</v>
      </c>
      <c r="D220" s="35">
        <v>13355741126</v>
      </c>
      <c r="E220" s="35" t="s">
        <v>525</v>
      </c>
      <c r="F220" s="35" t="s">
        <v>588</v>
      </c>
      <c r="G220" s="35"/>
      <c r="H220" s="35" t="s">
        <v>200</v>
      </c>
      <c r="I220" s="35" t="s">
        <v>366</v>
      </c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</row>
    <row r="221" spans="1:22">
      <c r="A221" s="35">
        <v>218</v>
      </c>
      <c r="B221" s="36">
        <v>46089</v>
      </c>
      <c r="C221" s="35" t="s">
        <v>670</v>
      </c>
      <c r="D221" s="35">
        <v>19985108849</v>
      </c>
      <c r="E221" s="35" t="s">
        <v>525</v>
      </c>
      <c r="F221" s="35" t="s">
        <v>189</v>
      </c>
      <c r="G221" s="35"/>
      <c r="H221" s="35" t="s">
        <v>200</v>
      </c>
      <c r="I221" s="35" t="s">
        <v>582</v>
      </c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</row>
    <row r="222" ht="31.5" spans="1:22">
      <c r="A222" s="35">
        <v>219</v>
      </c>
      <c r="B222" s="36">
        <v>46091</v>
      </c>
      <c r="C222" s="35" t="s">
        <v>671</v>
      </c>
      <c r="D222" s="35">
        <v>18867621708</v>
      </c>
      <c r="E222" s="35" t="s">
        <v>543</v>
      </c>
      <c r="F222" s="35" t="s">
        <v>189</v>
      </c>
      <c r="G222" s="35" t="s">
        <v>211</v>
      </c>
      <c r="H222" s="35" t="s">
        <v>162</v>
      </c>
      <c r="I222" s="35" t="s">
        <v>672</v>
      </c>
      <c r="J222" s="56">
        <v>46094.7569444444</v>
      </c>
      <c r="K222" s="35" t="s">
        <v>171</v>
      </c>
      <c r="L222" s="35" t="s">
        <v>264</v>
      </c>
      <c r="M222" s="35"/>
      <c r="N222" s="35" t="s">
        <v>673</v>
      </c>
      <c r="O222" s="35" t="s">
        <v>674</v>
      </c>
      <c r="P222" s="38" t="s">
        <v>675</v>
      </c>
      <c r="Q222" s="35"/>
      <c r="R222" s="35"/>
      <c r="S222" s="35"/>
      <c r="T222" s="35"/>
      <c r="U222" s="35"/>
      <c r="V222" s="35"/>
    </row>
    <row r="223" spans="1:22">
      <c r="A223" s="35">
        <v>220</v>
      </c>
      <c r="B223" s="36">
        <v>46091</v>
      </c>
      <c r="C223" s="35" t="s">
        <v>676</v>
      </c>
      <c r="D223" s="35">
        <v>17681995582</v>
      </c>
      <c r="E223" s="35" t="s">
        <v>178</v>
      </c>
      <c r="F223" s="35" t="s">
        <v>677</v>
      </c>
      <c r="G223" s="35" t="s">
        <v>177</v>
      </c>
      <c r="H223" s="35" t="s">
        <v>162</v>
      </c>
      <c r="I223" s="35"/>
      <c r="J223" s="56">
        <v>46093.5</v>
      </c>
      <c r="K223" s="35" t="s">
        <v>678</v>
      </c>
      <c r="L223" s="35" t="s">
        <v>177</v>
      </c>
      <c r="M223" s="35"/>
      <c r="N223" s="35" t="s">
        <v>335</v>
      </c>
      <c r="O223" s="35">
        <v>35</v>
      </c>
      <c r="P223" s="121" t="s">
        <v>679</v>
      </c>
      <c r="Q223" s="35"/>
      <c r="R223" s="35"/>
      <c r="S223" s="35"/>
      <c r="T223" s="35"/>
      <c r="U223" s="35"/>
      <c r="V223" s="35"/>
    </row>
    <row r="224" spans="1:22">
      <c r="A224" s="35">
        <v>221</v>
      </c>
      <c r="B224" s="36">
        <v>46092</v>
      </c>
      <c r="C224" s="35" t="s">
        <v>680</v>
      </c>
      <c r="D224" s="35"/>
      <c r="E224" s="35" t="s">
        <v>681</v>
      </c>
      <c r="F224" s="35" t="s">
        <v>189</v>
      </c>
      <c r="G224" s="35" t="s">
        <v>210</v>
      </c>
      <c r="H224" s="35" t="s">
        <v>162</v>
      </c>
      <c r="I224" s="35" t="s">
        <v>682</v>
      </c>
      <c r="J224" s="56">
        <v>46092.625</v>
      </c>
      <c r="K224" s="35" t="s">
        <v>683</v>
      </c>
      <c r="L224" s="35" t="s">
        <v>684</v>
      </c>
      <c r="M224" s="35"/>
      <c r="N224" s="35"/>
      <c r="O224" s="35"/>
      <c r="P224" s="35"/>
      <c r="Q224" s="35"/>
      <c r="R224" s="35"/>
      <c r="S224" s="35"/>
      <c r="T224" s="35"/>
      <c r="U224" s="35"/>
      <c r="V224" s="35"/>
    </row>
    <row r="225" spans="1:22">
      <c r="A225" s="35">
        <v>222</v>
      </c>
      <c r="B225" s="36">
        <v>46092</v>
      </c>
      <c r="C225" s="35" t="s">
        <v>685</v>
      </c>
      <c r="D225" s="35">
        <v>13248683196</v>
      </c>
      <c r="E225" s="35" t="s">
        <v>686</v>
      </c>
      <c r="F225" s="35" t="s">
        <v>189</v>
      </c>
      <c r="G225" s="35" t="s">
        <v>211</v>
      </c>
      <c r="H225" s="35" t="s">
        <v>162</v>
      </c>
      <c r="I225" s="35"/>
      <c r="J225" s="56">
        <v>46094.5</v>
      </c>
      <c r="K225" s="35" t="s">
        <v>687</v>
      </c>
      <c r="L225" s="35" t="s">
        <v>684</v>
      </c>
      <c r="M225" s="35"/>
      <c r="N225" s="35"/>
      <c r="O225" s="35"/>
      <c r="P225" s="35"/>
      <c r="Q225" s="35" t="s">
        <v>688</v>
      </c>
      <c r="R225" s="35">
        <v>299</v>
      </c>
      <c r="S225" s="35"/>
      <c r="T225" s="35"/>
      <c r="U225" s="35"/>
      <c r="V225" s="35"/>
    </row>
    <row r="226" spans="1:22">
      <c r="A226" s="35">
        <v>223</v>
      </c>
      <c r="B226" s="36">
        <v>46092</v>
      </c>
      <c r="C226" s="35" t="s">
        <v>669</v>
      </c>
      <c r="D226" s="35">
        <v>18217682567</v>
      </c>
      <c r="E226" s="35" t="s">
        <v>689</v>
      </c>
      <c r="F226" s="35" t="s">
        <v>189</v>
      </c>
      <c r="G226" s="35" t="s">
        <v>210</v>
      </c>
      <c r="H226" s="35" t="s">
        <v>162</v>
      </c>
      <c r="I226" s="35"/>
      <c r="J226" s="56">
        <v>46092.8020833333</v>
      </c>
      <c r="K226" s="35" t="s">
        <v>690</v>
      </c>
      <c r="L226" s="35" t="s">
        <v>343</v>
      </c>
      <c r="M226" s="35"/>
      <c r="N226" s="35" t="s">
        <v>285</v>
      </c>
      <c r="O226" s="35">
        <v>83</v>
      </c>
      <c r="P226" s="121" t="s">
        <v>691</v>
      </c>
      <c r="Q226" s="35"/>
      <c r="R226" s="35"/>
      <c r="S226" s="35"/>
      <c r="T226" s="35"/>
      <c r="U226" s="35"/>
      <c r="V226" s="35"/>
    </row>
    <row r="227" spans="1:22">
      <c r="A227" s="35">
        <v>224</v>
      </c>
      <c r="B227" s="36">
        <v>46092</v>
      </c>
      <c r="C227" s="35" t="s">
        <v>692</v>
      </c>
      <c r="D227" s="35">
        <v>18758360480</v>
      </c>
      <c r="E227" s="35" t="s">
        <v>693</v>
      </c>
      <c r="F227" s="35" t="s">
        <v>189</v>
      </c>
      <c r="G227" s="35"/>
      <c r="H227" s="35" t="s">
        <v>200</v>
      </c>
      <c r="I227" s="35" t="s">
        <v>534</v>
      </c>
      <c r="J227" s="56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</row>
    <row r="228" spans="1:22">
      <c r="A228" s="35">
        <v>225</v>
      </c>
      <c r="B228" s="36">
        <v>46092</v>
      </c>
      <c r="C228" s="35" t="s">
        <v>694</v>
      </c>
      <c r="D228" s="35"/>
      <c r="E228" s="35" t="s">
        <v>695</v>
      </c>
      <c r="F228" s="35" t="s">
        <v>189</v>
      </c>
      <c r="G228" s="35"/>
      <c r="H228" s="35" t="s">
        <v>200</v>
      </c>
      <c r="I228" s="35" t="s">
        <v>549</v>
      </c>
      <c r="J228" s="56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</row>
    <row r="229" spans="1:22">
      <c r="A229" s="35">
        <v>226</v>
      </c>
      <c r="B229" s="36">
        <v>46092</v>
      </c>
      <c r="C229" s="35" t="s">
        <v>696</v>
      </c>
      <c r="D229" s="35"/>
      <c r="E229" s="35" t="s">
        <v>697</v>
      </c>
      <c r="F229" s="35" t="s">
        <v>189</v>
      </c>
      <c r="G229" s="35"/>
      <c r="H229" s="35" t="s">
        <v>200</v>
      </c>
      <c r="I229" s="35" t="s">
        <v>698</v>
      </c>
      <c r="J229" s="56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</row>
    <row r="230" spans="1:22">
      <c r="A230" s="35">
        <v>227</v>
      </c>
      <c r="B230" s="36">
        <v>46093</v>
      </c>
      <c r="C230" s="35" t="s">
        <v>252</v>
      </c>
      <c r="D230" s="35">
        <v>18268559089</v>
      </c>
      <c r="E230" s="35" t="s">
        <v>695</v>
      </c>
      <c r="F230" s="35" t="s">
        <v>189</v>
      </c>
      <c r="G230" s="35"/>
      <c r="H230" s="35" t="s">
        <v>200</v>
      </c>
      <c r="I230" s="35" t="s">
        <v>698</v>
      </c>
      <c r="J230" s="56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</row>
    <row r="231" spans="1:22">
      <c r="A231" s="35">
        <v>228</v>
      </c>
      <c r="B231" s="36">
        <v>46093</v>
      </c>
      <c r="C231" s="35" t="s">
        <v>246</v>
      </c>
      <c r="D231" s="35">
        <v>18860012897</v>
      </c>
      <c r="E231" s="35" t="s">
        <v>554</v>
      </c>
      <c r="F231" s="35" t="s">
        <v>189</v>
      </c>
      <c r="G231" s="35" t="s">
        <v>177</v>
      </c>
      <c r="H231" s="35" t="s">
        <v>162</v>
      </c>
      <c r="I231" s="35"/>
      <c r="J231" s="56">
        <v>46094.7152777778</v>
      </c>
      <c r="K231" s="35" t="s">
        <v>467</v>
      </c>
      <c r="L231" s="35" t="s">
        <v>684</v>
      </c>
      <c r="M231" s="35"/>
      <c r="N231" s="35" t="s">
        <v>699</v>
      </c>
      <c r="O231" s="35">
        <v>399</v>
      </c>
      <c r="P231" s="121" t="s">
        <v>700</v>
      </c>
      <c r="Q231" s="35"/>
      <c r="R231" s="35"/>
      <c r="S231" s="35"/>
      <c r="T231" s="35"/>
      <c r="U231" s="35"/>
      <c r="V231" s="35"/>
    </row>
    <row r="232" spans="1:22">
      <c r="A232" s="35">
        <v>229</v>
      </c>
      <c r="B232" s="36">
        <v>46094</v>
      </c>
      <c r="C232" s="35" t="s">
        <v>701</v>
      </c>
      <c r="D232" s="35">
        <v>13429393126</v>
      </c>
      <c r="E232" s="35" t="s">
        <v>702</v>
      </c>
      <c r="F232" s="35" t="s">
        <v>189</v>
      </c>
      <c r="G232" s="35" t="s">
        <v>210</v>
      </c>
      <c r="H232" s="35" t="s">
        <v>162</v>
      </c>
      <c r="I232" s="35"/>
      <c r="J232" s="56">
        <v>46094.8125</v>
      </c>
      <c r="K232" s="35" t="s">
        <v>687</v>
      </c>
      <c r="L232" s="35" t="s">
        <v>210</v>
      </c>
      <c r="M232" s="35"/>
      <c r="N232" s="35"/>
      <c r="O232" s="35"/>
      <c r="P232" s="35"/>
      <c r="Q232" s="35" t="s">
        <v>688</v>
      </c>
      <c r="R232" s="35">
        <v>299</v>
      </c>
      <c r="S232" s="35"/>
      <c r="T232" s="35"/>
      <c r="U232" s="35"/>
      <c r="V232" s="35"/>
    </row>
    <row r="233" spans="1:22">
      <c r="A233" s="35">
        <v>230</v>
      </c>
      <c r="B233" s="36">
        <v>46094</v>
      </c>
      <c r="C233" s="35" t="s">
        <v>703</v>
      </c>
      <c r="D233" s="35">
        <v>13486415652</v>
      </c>
      <c r="E233" s="35" t="s">
        <v>584</v>
      </c>
      <c r="F233" s="35" t="s">
        <v>704</v>
      </c>
      <c r="G233" s="35" t="s">
        <v>211</v>
      </c>
      <c r="H233" s="35" t="s">
        <v>162</v>
      </c>
      <c r="I233" s="35"/>
      <c r="J233" s="56">
        <v>46119.8020833333</v>
      </c>
      <c r="K233" s="35" t="s">
        <v>653</v>
      </c>
      <c r="L233" s="35" t="s">
        <v>177</v>
      </c>
      <c r="M233" s="35"/>
      <c r="N233" s="35" t="s">
        <v>705</v>
      </c>
      <c r="O233" s="35">
        <v>286.77</v>
      </c>
      <c r="P233" s="121" t="s">
        <v>706</v>
      </c>
      <c r="Q233" s="35"/>
      <c r="R233" s="35"/>
      <c r="S233" s="35"/>
      <c r="T233" s="35"/>
      <c r="U233" s="35"/>
      <c r="V233" s="35"/>
    </row>
    <row r="234" spans="1:22">
      <c r="A234" s="35">
        <v>231</v>
      </c>
      <c r="B234" s="36">
        <v>46094</v>
      </c>
      <c r="C234" s="35" t="s">
        <v>655</v>
      </c>
      <c r="D234" s="51">
        <v>13989319697</v>
      </c>
      <c r="E234" s="51" t="s">
        <v>315</v>
      </c>
      <c r="F234" s="51" t="s">
        <v>189</v>
      </c>
      <c r="G234" s="51" t="s">
        <v>177</v>
      </c>
      <c r="H234" s="35" t="s">
        <v>162</v>
      </c>
      <c r="I234" s="51" t="s">
        <v>263</v>
      </c>
      <c r="J234" s="56">
        <v>46094.8125</v>
      </c>
      <c r="K234" s="35" t="s">
        <v>707</v>
      </c>
      <c r="L234" s="35" t="s">
        <v>190</v>
      </c>
      <c r="M234" s="35"/>
      <c r="N234" s="35" t="s">
        <v>405</v>
      </c>
      <c r="O234" s="51">
        <v>368</v>
      </c>
      <c r="P234" s="123" t="s">
        <v>708</v>
      </c>
      <c r="Q234" s="35"/>
      <c r="R234" s="35"/>
      <c r="S234" s="35"/>
      <c r="T234" s="35"/>
      <c r="U234" s="35"/>
      <c r="V234" s="35"/>
    </row>
    <row r="235" spans="1:22">
      <c r="A235" s="35">
        <v>232</v>
      </c>
      <c r="B235" s="36">
        <v>46094</v>
      </c>
      <c r="C235" s="35" t="s">
        <v>709</v>
      </c>
      <c r="D235" s="52"/>
      <c r="E235" s="52"/>
      <c r="F235" s="52"/>
      <c r="G235" s="51" t="s">
        <v>177</v>
      </c>
      <c r="H235" s="35" t="s">
        <v>162</v>
      </c>
      <c r="I235" s="52"/>
      <c r="J235" s="56">
        <v>46094.8125</v>
      </c>
      <c r="K235" s="35" t="s">
        <v>707</v>
      </c>
      <c r="L235" s="35" t="s">
        <v>190</v>
      </c>
      <c r="M235" s="35"/>
      <c r="N235" s="35" t="s">
        <v>405</v>
      </c>
      <c r="O235" s="52"/>
      <c r="P235" s="52"/>
      <c r="Q235" s="35"/>
      <c r="R235" s="35"/>
      <c r="S235" s="35"/>
      <c r="T235" s="35"/>
      <c r="U235" s="35"/>
      <c r="V235" s="35"/>
    </row>
    <row r="236" ht="31.5" spans="1:22">
      <c r="A236" s="35">
        <v>233</v>
      </c>
      <c r="B236" s="36">
        <v>46096</v>
      </c>
      <c r="C236" s="35" t="s">
        <v>710</v>
      </c>
      <c r="D236" s="35">
        <v>15906582258</v>
      </c>
      <c r="E236" s="35" t="s">
        <v>711</v>
      </c>
      <c r="F236" s="35" t="s">
        <v>704</v>
      </c>
      <c r="G236" s="35" t="s">
        <v>210</v>
      </c>
      <c r="H236" s="35" t="s">
        <v>162</v>
      </c>
      <c r="I236" s="35"/>
      <c r="J236" s="56">
        <v>46097.75</v>
      </c>
      <c r="K236" s="35" t="s">
        <v>296</v>
      </c>
      <c r="L236" s="35" t="s">
        <v>210</v>
      </c>
      <c r="M236" s="35" t="s">
        <v>162</v>
      </c>
      <c r="N236" s="35" t="s">
        <v>712</v>
      </c>
      <c r="O236" s="35">
        <v>372.4</v>
      </c>
      <c r="P236" s="122" t="s">
        <v>713</v>
      </c>
      <c r="Q236" s="35" t="s">
        <v>714</v>
      </c>
      <c r="R236" s="35">
        <v>5998</v>
      </c>
      <c r="S236" s="35"/>
      <c r="T236" s="35"/>
      <c r="U236" s="35"/>
      <c r="V236" s="35"/>
    </row>
    <row r="237" ht="47.25" spans="1:22">
      <c r="A237" s="35">
        <v>234</v>
      </c>
      <c r="B237" s="36">
        <v>46096</v>
      </c>
      <c r="C237" s="35" t="s">
        <v>715</v>
      </c>
      <c r="D237" s="35">
        <v>13367492577</v>
      </c>
      <c r="E237" s="35" t="s">
        <v>645</v>
      </c>
      <c r="F237" s="35" t="s">
        <v>169</v>
      </c>
      <c r="G237" s="35" t="s">
        <v>211</v>
      </c>
      <c r="H237" s="35" t="s">
        <v>162</v>
      </c>
      <c r="I237" s="35"/>
      <c r="J237" s="56">
        <v>46098.375</v>
      </c>
      <c r="K237" s="35" t="s">
        <v>716</v>
      </c>
      <c r="L237" s="35" t="s">
        <v>172</v>
      </c>
      <c r="M237" s="35"/>
      <c r="N237" s="35" t="s">
        <v>312</v>
      </c>
      <c r="O237" s="35">
        <v>84.55</v>
      </c>
      <c r="P237" s="122" t="s">
        <v>717</v>
      </c>
      <c r="Q237" s="35"/>
      <c r="R237" s="35"/>
      <c r="S237" s="35"/>
      <c r="T237" s="35"/>
      <c r="U237" s="35"/>
      <c r="V237" s="35"/>
    </row>
    <row r="238" spans="1:22">
      <c r="A238" s="35">
        <v>235</v>
      </c>
      <c r="B238" s="36">
        <v>46097</v>
      </c>
      <c r="C238" s="35" t="s">
        <v>718</v>
      </c>
      <c r="D238" s="35">
        <v>15167190210</v>
      </c>
      <c r="E238" s="35" t="s">
        <v>315</v>
      </c>
      <c r="F238" s="35" t="s">
        <v>189</v>
      </c>
      <c r="G238" s="35" t="s">
        <v>177</v>
      </c>
      <c r="H238" s="35" t="s">
        <v>162</v>
      </c>
      <c r="I238" s="35"/>
      <c r="J238" s="56">
        <v>46098.4375</v>
      </c>
      <c r="K238" s="35" t="s">
        <v>196</v>
      </c>
      <c r="L238" s="35" t="s">
        <v>719</v>
      </c>
      <c r="M238" s="35"/>
      <c r="N238" s="35"/>
      <c r="O238" s="35"/>
      <c r="P238" s="35"/>
      <c r="Q238" s="35" t="s">
        <v>688</v>
      </c>
      <c r="R238" s="35">
        <v>299</v>
      </c>
      <c r="S238" s="35"/>
      <c r="T238" s="35"/>
      <c r="U238" s="35"/>
      <c r="V238" s="35"/>
    </row>
    <row r="239" spans="1:22">
      <c r="A239" s="35">
        <v>236</v>
      </c>
      <c r="B239" s="36">
        <v>46097</v>
      </c>
      <c r="C239" s="35" t="s">
        <v>720</v>
      </c>
      <c r="D239" s="35">
        <v>18599255153</v>
      </c>
      <c r="E239" s="35" t="s">
        <v>315</v>
      </c>
      <c r="F239" s="35" t="s">
        <v>396</v>
      </c>
      <c r="G239" s="35" t="s">
        <v>177</v>
      </c>
      <c r="H239" s="35" t="s">
        <v>162</v>
      </c>
      <c r="I239" s="35"/>
      <c r="J239" s="56">
        <v>46098.4375</v>
      </c>
      <c r="K239" s="35" t="s">
        <v>196</v>
      </c>
      <c r="L239" s="35" t="s">
        <v>719</v>
      </c>
      <c r="M239" s="35"/>
      <c r="N239" s="35"/>
      <c r="O239" s="35"/>
      <c r="P239" s="35"/>
      <c r="Q239" s="35" t="s">
        <v>688</v>
      </c>
      <c r="R239" s="35">
        <v>299</v>
      </c>
      <c r="S239" s="35"/>
      <c r="T239" s="35"/>
      <c r="U239" s="35"/>
      <c r="V239" s="35"/>
    </row>
    <row r="240" spans="1:22">
      <c r="A240" s="35">
        <v>237</v>
      </c>
      <c r="B240" s="36">
        <v>46097</v>
      </c>
      <c r="C240" s="35" t="s">
        <v>721</v>
      </c>
      <c r="D240" s="35">
        <v>17767335299</v>
      </c>
      <c r="E240" s="35" t="s">
        <v>543</v>
      </c>
      <c r="F240" s="35" t="s">
        <v>189</v>
      </c>
      <c r="G240" s="35"/>
      <c r="H240" s="35" t="s">
        <v>200</v>
      </c>
      <c r="I240" s="35" t="s">
        <v>722</v>
      </c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</row>
    <row r="241" spans="1:22">
      <c r="A241" s="35">
        <v>238</v>
      </c>
      <c r="B241" s="36">
        <v>46099</v>
      </c>
      <c r="C241" s="35" t="s">
        <v>723</v>
      </c>
      <c r="D241" s="35">
        <v>13857403110</v>
      </c>
      <c r="E241" s="35" t="s">
        <v>315</v>
      </c>
      <c r="F241" s="35" t="s">
        <v>189</v>
      </c>
      <c r="G241" s="35" t="s">
        <v>211</v>
      </c>
      <c r="H241" s="35" t="s">
        <v>162</v>
      </c>
      <c r="I241" s="35"/>
      <c r="J241" s="56">
        <v>46099.5625</v>
      </c>
      <c r="K241" s="35" t="s">
        <v>428</v>
      </c>
      <c r="L241" s="35" t="s">
        <v>190</v>
      </c>
      <c r="M241" s="35"/>
      <c r="N241" s="35"/>
      <c r="O241" s="35"/>
      <c r="P241" s="35"/>
      <c r="Q241" s="35" t="s">
        <v>688</v>
      </c>
      <c r="R241" s="35">
        <v>299</v>
      </c>
      <c r="S241" s="35"/>
      <c r="T241" s="35"/>
      <c r="U241" s="35"/>
      <c r="V241" s="35"/>
    </row>
    <row r="242" spans="1:22">
      <c r="A242" s="35">
        <v>239</v>
      </c>
      <c r="B242" s="36">
        <v>46099</v>
      </c>
      <c r="C242" s="35" t="s">
        <v>724</v>
      </c>
      <c r="D242" s="35">
        <v>15058432600</v>
      </c>
      <c r="E242" s="35" t="s">
        <v>725</v>
      </c>
      <c r="F242" s="35" t="s">
        <v>189</v>
      </c>
      <c r="G242" s="35" t="s">
        <v>177</v>
      </c>
      <c r="H242" s="35" t="s">
        <v>162</v>
      </c>
      <c r="I242" s="35"/>
      <c r="J242" s="56">
        <v>46100.5</v>
      </c>
      <c r="K242" s="35" t="s">
        <v>726</v>
      </c>
      <c r="L242" s="35" t="s">
        <v>172</v>
      </c>
      <c r="M242" s="35"/>
      <c r="N242" s="35"/>
      <c r="O242" s="35"/>
      <c r="P242" s="35"/>
      <c r="Q242" s="35" t="s">
        <v>688</v>
      </c>
      <c r="R242" s="35">
        <v>299</v>
      </c>
      <c r="S242" s="35"/>
      <c r="T242" s="35"/>
      <c r="U242" s="35"/>
      <c r="V242" s="35"/>
    </row>
    <row r="243" spans="1:22">
      <c r="A243" s="35">
        <v>240</v>
      </c>
      <c r="B243" s="36">
        <v>46099</v>
      </c>
      <c r="C243" s="35" t="s">
        <v>727</v>
      </c>
      <c r="D243" s="35">
        <v>15857482780</v>
      </c>
      <c r="E243" s="35" t="s">
        <v>168</v>
      </c>
      <c r="F243" s="35" t="s">
        <v>728</v>
      </c>
      <c r="G243" s="35" t="s">
        <v>211</v>
      </c>
      <c r="H243" s="35" t="s">
        <v>162</v>
      </c>
      <c r="I243" s="35"/>
      <c r="J243" s="56">
        <v>46104.75</v>
      </c>
      <c r="K243" s="35" t="s">
        <v>272</v>
      </c>
      <c r="L243" s="35" t="s">
        <v>300</v>
      </c>
      <c r="M243" s="35"/>
      <c r="N243" s="35"/>
      <c r="O243" s="35"/>
      <c r="P243" s="35"/>
      <c r="Q243" s="35" t="s">
        <v>688</v>
      </c>
      <c r="R243" s="35">
        <v>299</v>
      </c>
      <c r="S243" s="35"/>
      <c r="T243" s="35"/>
      <c r="U243" s="35"/>
      <c r="V243" s="35"/>
    </row>
    <row r="244" spans="1:22">
      <c r="A244" s="35">
        <v>241</v>
      </c>
      <c r="B244" s="36">
        <v>46100</v>
      </c>
      <c r="C244" s="35" t="s">
        <v>729</v>
      </c>
      <c r="D244" s="35">
        <v>13777116833</v>
      </c>
      <c r="E244" s="35" t="s">
        <v>730</v>
      </c>
      <c r="F244" s="35" t="s">
        <v>169</v>
      </c>
      <c r="G244" s="35" t="s">
        <v>210</v>
      </c>
      <c r="H244" s="35" t="s">
        <v>162</v>
      </c>
      <c r="I244" s="35"/>
      <c r="J244" s="56">
        <v>46100.5</v>
      </c>
      <c r="K244" s="35" t="s">
        <v>731</v>
      </c>
      <c r="L244" s="35" t="s">
        <v>211</v>
      </c>
      <c r="M244" s="35" t="s">
        <v>162</v>
      </c>
      <c r="N244" s="35"/>
      <c r="O244" s="35"/>
      <c r="P244" s="35"/>
      <c r="Q244" s="35" t="s">
        <v>688</v>
      </c>
      <c r="R244" s="35">
        <v>299</v>
      </c>
      <c r="S244" s="35"/>
      <c r="T244" s="35"/>
      <c r="U244" s="35"/>
      <c r="V244" s="35"/>
    </row>
    <row r="245" spans="1:22">
      <c r="A245" s="35">
        <v>242</v>
      </c>
      <c r="B245" s="36">
        <v>46100</v>
      </c>
      <c r="C245" s="35" t="s">
        <v>732</v>
      </c>
      <c r="D245" s="35">
        <v>17688503373</v>
      </c>
      <c r="E245" s="35" t="s">
        <v>315</v>
      </c>
      <c r="F245" s="35" t="s">
        <v>189</v>
      </c>
      <c r="G245" s="35" t="s">
        <v>210</v>
      </c>
      <c r="H245" s="35" t="s">
        <v>162</v>
      </c>
      <c r="I245" s="35"/>
      <c r="J245" s="56">
        <v>46100.625</v>
      </c>
      <c r="K245" s="35" t="s">
        <v>733</v>
      </c>
      <c r="L245" s="35" t="s">
        <v>719</v>
      </c>
      <c r="M245" s="35" t="s">
        <v>162</v>
      </c>
      <c r="N245" s="35" t="s">
        <v>688</v>
      </c>
      <c r="O245" s="35">
        <v>299</v>
      </c>
      <c r="P245" s="35"/>
      <c r="Q245" s="17" t="s">
        <v>647</v>
      </c>
      <c r="R245" s="17">
        <v>3281</v>
      </c>
      <c r="S245" s="35"/>
      <c r="T245" s="35"/>
      <c r="U245" s="35"/>
      <c r="V245" s="35"/>
    </row>
    <row r="246" spans="1:22">
      <c r="A246" s="35">
        <v>243</v>
      </c>
      <c r="B246" s="36">
        <v>46102</v>
      </c>
      <c r="C246" s="35" t="s">
        <v>670</v>
      </c>
      <c r="D246" s="35">
        <v>19985108849</v>
      </c>
      <c r="E246" s="35" t="s">
        <v>734</v>
      </c>
      <c r="F246" s="35" t="s">
        <v>189</v>
      </c>
      <c r="G246" s="35" t="s">
        <v>210</v>
      </c>
      <c r="H246" s="35" t="s">
        <v>162</v>
      </c>
      <c r="I246" s="35"/>
      <c r="J246" s="56">
        <v>46102.6666666667</v>
      </c>
      <c r="K246" s="35" t="s">
        <v>296</v>
      </c>
      <c r="L246" s="35" t="s">
        <v>719</v>
      </c>
      <c r="M246" s="35"/>
      <c r="N246" s="35" t="s">
        <v>468</v>
      </c>
      <c r="O246" s="35">
        <v>387</v>
      </c>
      <c r="P246" s="121" t="s">
        <v>735</v>
      </c>
      <c r="Q246" s="35"/>
      <c r="R246" s="35"/>
      <c r="S246" s="35"/>
      <c r="T246" s="35"/>
      <c r="U246" s="35"/>
      <c r="V246" s="35"/>
    </row>
    <row r="247" spans="1:22">
      <c r="A247" s="35">
        <v>244</v>
      </c>
      <c r="B247" s="36">
        <v>46103</v>
      </c>
      <c r="C247" s="35" t="s">
        <v>736</v>
      </c>
      <c r="D247" s="35">
        <v>13777204085</v>
      </c>
      <c r="E247" s="35" t="s">
        <v>725</v>
      </c>
      <c r="F247" s="35" t="s">
        <v>737</v>
      </c>
      <c r="G247" s="35"/>
      <c r="H247" s="35" t="s">
        <v>200</v>
      </c>
      <c r="I247" s="35" t="s">
        <v>534</v>
      </c>
      <c r="J247" s="56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</row>
    <row r="248" spans="1:22">
      <c r="A248" s="35">
        <v>245</v>
      </c>
      <c r="B248" s="36">
        <v>46104</v>
      </c>
      <c r="C248" s="35" t="s">
        <v>738</v>
      </c>
      <c r="D248" s="35">
        <v>13774269681</v>
      </c>
      <c r="E248" s="35" t="s">
        <v>315</v>
      </c>
      <c r="F248" s="35" t="s">
        <v>189</v>
      </c>
      <c r="G248" s="35" t="s">
        <v>719</v>
      </c>
      <c r="H248" s="35" t="s">
        <v>200</v>
      </c>
      <c r="I248" s="35" t="s">
        <v>739</v>
      </c>
      <c r="J248" s="56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</row>
    <row r="249" spans="1:22">
      <c r="A249" s="35">
        <v>246</v>
      </c>
      <c r="B249" s="36">
        <v>46104</v>
      </c>
      <c r="C249" s="35" t="s">
        <v>740</v>
      </c>
      <c r="D249" s="35">
        <v>13184311225</v>
      </c>
      <c r="E249" s="35" t="s">
        <v>315</v>
      </c>
      <c r="F249" s="35" t="s">
        <v>189</v>
      </c>
      <c r="G249" s="35" t="s">
        <v>719</v>
      </c>
      <c r="H249" s="35" t="s">
        <v>162</v>
      </c>
      <c r="I249" s="35" t="s">
        <v>741</v>
      </c>
      <c r="J249" s="56">
        <v>46109.6875</v>
      </c>
      <c r="K249" s="35" t="s">
        <v>171</v>
      </c>
      <c r="L249" s="35" t="s">
        <v>742</v>
      </c>
      <c r="M249" s="35" t="s">
        <v>162</v>
      </c>
      <c r="N249" s="35" t="s">
        <v>743</v>
      </c>
      <c r="O249" s="35">
        <v>70.37</v>
      </c>
      <c r="P249" s="121" t="s">
        <v>744</v>
      </c>
      <c r="Q249" s="35" t="s">
        <v>488</v>
      </c>
      <c r="R249" s="35">
        <v>3200</v>
      </c>
      <c r="S249" s="35"/>
      <c r="T249" s="35"/>
      <c r="U249" s="35"/>
      <c r="V249" s="35"/>
    </row>
    <row r="250" spans="1:22">
      <c r="A250" s="35">
        <v>247</v>
      </c>
      <c r="B250" s="36">
        <v>46104</v>
      </c>
      <c r="C250" s="35" t="s">
        <v>745</v>
      </c>
      <c r="D250" s="35">
        <v>13586663109</v>
      </c>
      <c r="E250" s="35" t="s">
        <v>315</v>
      </c>
      <c r="F250" s="35" t="s">
        <v>169</v>
      </c>
      <c r="G250" s="35"/>
      <c r="H250" s="35" t="s">
        <v>200</v>
      </c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</row>
    <row r="251" spans="1:22">
      <c r="A251" s="35">
        <v>248</v>
      </c>
      <c r="B251" s="36">
        <v>46104</v>
      </c>
      <c r="C251" s="35" t="s">
        <v>746</v>
      </c>
      <c r="D251" s="35">
        <v>13957852098</v>
      </c>
      <c r="E251" s="35" t="s">
        <v>725</v>
      </c>
      <c r="F251" s="35" t="s">
        <v>169</v>
      </c>
      <c r="G251" s="35"/>
      <c r="H251" s="35" t="s">
        <v>200</v>
      </c>
      <c r="I251" s="35" t="s">
        <v>747</v>
      </c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</row>
    <row r="252" spans="1:22">
      <c r="A252" s="35">
        <v>249</v>
      </c>
      <c r="B252" s="36">
        <v>46104</v>
      </c>
      <c r="C252" s="35" t="s">
        <v>748</v>
      </c>
      <c r="D252" s="35">
        <v>13957856789</v>
      </c>
      <c r="E252" s="35" t="s">
        <v>168</v>
      </c>
      <c r="F252" s="35" t="s">
        <v>728</v>
      </c>
      <c r="G252" s="35" t="s">
        <v>211</v>
      </c>
      <c r="H252" s="35" t="s">
        <v>162</v>
      </c>
      <c r="I252" s="35"/>
      <c r="J252" s="56">
        <v>46128.8125</v>
      </c>
      <c r="K252" s="35" t="s">
        <v>428</v>
      </c>
      <c r="L252" s="35" t="s">
        <v>719</v>
      </c>
      <c r="M252" s="35"/>
      <c r="N252" s="35"/>
      <c r="O252" s="35"/>
      <c r="P252" s="35"/>
      <c r="Q252" s="35" t="s">
        <v>688</v>
      </c>
      <c r="R252" s="35">
        <v>299</v>
      </c>
      <c r="S252" s="35"/>
      <c r="T252" s="35"/>
      <c r="U252" s="35"/>
      <c r="V252" s="35"/>
    </row>
    <row r="253" spans="1:22">
      <c r="A253" s="35">
        <v>250</v>
      </c>
      <c r="B253" s="36">
        <v>46105</v>
      </c>
      <c r="C253" s="35" t="s">
        <v>749</v>
      </c>
      <c r="D253" s="35">
        <v>18758820963</v>
      </c>
      <c r="E253" s="35" t="s">
        <v>750</v>
      </c>
      <c r="F253" s="35" t="s">
        <v>189</v>
      </c>
      <c r="G253" s="35" t="s">
        <v>211</v>
      </c>
      <c r="H253" s="35" t="s">
        <v>162</v>
      </c>
      <c r="I253" s="35"/>
      <c r="J253" s="56">
        <v>46109.3958333333</v>
      </c>
      <c r="K253" s="35" t="s">
        <v>296</v>
      </c>
      <c r="L253" s="35" t="s">
        <v>170</v>
      </c>
      <c r="M253" s="35" t="s">
        <v>162</v>
      </c>
      <c r="N253" s="35" t="s">
        <v>468</v>
      </c>
      <c r="O253" s="35">
        <v>387</v>
      </c>
      <c r="P253" s="121" t="s">
        <v>751</v>
      </c>
      <c r="Q253" s="35" t="s">
        <v>752</v>
      </c>
      <c r="R253" s="35">
        <v>8997</v>
      </c>
      <c r="S253" s="35"/>
      <c r="T253" s="35"/>
      <c r="U253" s="35"/>
      <c r="V253" s="35"/>
    </row>
    <row r="254" spans="1:22">
      <c r="A254" s="35">
        <v>251</v>
      </c>
      <c r="B254" s="36">
        <v>46105</v>
      </c>
      <c r="C254" s="35" t="s">
        <v>753</v>
      </c>
      <c r="D254" s="35">
        <v>13566576265</v>
      </c>
      <c r="E254" s="35" t="s">
        <v>754</v>
      </c>
      <c r="F254" s="35" t="s">
        <v>189</v>
      </c>
      <c r="G254" s="35" t="s">
        <v>177</v>
      </c>
      <c r="H254" s="35" t="s">
        <v>162</v>
      </c>
      <c r="I254" s="35"/>
      <c r="J254" s="56">
        <v>46106.6666666667</v>
      </c>
      <c r="K254" s="35" t="s">
        <v>370</v>
      </c>
      <c r="L254" s="35" t="s">
        <v>177</v>
      </c>
      <c r="M254" s="35"/>
      <c r="N254" s="35" t="s">
        <v>468</v>
      </c>
      <c r="O254" s="35">
        <v>394</v>
      </c>
      <c r="P254" s="121" t="s">
        <v>755</v>
      </c>
      <c r="Q254" s="35"/>
      <c r="R254" s="35"/>
      <c r="S254" s="35"/>
      <c r="T254" s="35"/>
      <c r="U254" s="35"/>
      <c r="V254" s="35"/>
    </row>
    <row r="255" spans="1:22">
      <c r="A255" s="35">
        <v>252</v>
      </c>
      <c r="B255" s="36">
        <v>46106</v>
      </c>
      <c r="C255" s="35" t="s">
        <v>756</v>
      </c>
      <c r="D255" s="35">
        <v>13752161737</v>
      </c>
      <c r="E255" s="35" t="s">
        <v>315</v>
      </c>
      <c r="F255" s="35" t="s">
        <v>189</v>
      </c>
      <c r="G255" s="35" t="s">
        <v>210</v>
      </c>
      <c r="H255" s="35" t="s">
        <v>162</v>
      </c>
      <c r="I255" s="35" t="s">
        <v>757</v>
      </c>
      <c r="J255" s="56">
        <v>46106.7569444444</v>
      </c>
      <c r="K255" s="35" t="s">
        <v>309</v>
      </c>
      <c r="L255" s="35" t="s">
        <v>210</v>
      </c>
      <c r="M255" s="35"/>
      <c r="N255" s="35"/>
      <c r="O255" s="35"/>
      <c r="P255" s="35"/>
      <c r="Q255" s="35" t="s">
        <v>688</v>
      </c>
      <c r="R255" s="35">
        <v>299</v>
      </c>
      <c r="S255" s="35"/>
      <c r="T255" s="35"/>
      <c r="U255" s="35"/>
      <c r="V255" s="35"/>
    </row>
    <row r="256" spans="1:22">
      <c r="A256" s="35">
        <v>253</v>
      </c>
      <c r="B256" s="36">
        <v>46107</v>
      </c>
      <c r="C256" s="35" t="s">
        <v>758</v>
      </c>
      <c r="D256" s="35">
        <v>13298536998</v>
      </c>
      <c r="E256" s="35" t="s">
        <v>759</v>
      </c>
      <c r="F256" s="35" t="s">
        <v>189</v>
      </c>
      <c r="G256" s="35" t="s">
        <v>177</v>
      </c>
      <c r="H256" s="35" t="s">
        <v>162</v>
      </c>
      <c r="I256" s="35"/>
      <c r="J256" s="56">
        <v>46108.8020833333</v>
      </c>
      <c r="K256" s="35" t="s">
        <v>760</v>
      </c>
      <c r="L256" s="35" t="s">
        <v>264</v>
      </c>
      <c r="M256" s="35"/>
      <c r="N256" s="35" t="s">
        <v>335</v>
      </c>
      <c r="O256" s="35">
        <v>35</v>
      </c>
      <c r="P256" s="121" t="s">
        <v>761</v>
      </c>
      <c r="Q256" s="35"/>
      <c r="R256" s="35"/>
      <c r="S256" s="35"/>
      <c r="T256" s="35"/>
      <c r="U256" s="35"/>
      <c r="V256" s="35"/>
    </row>
    <row r="257" spans="1:22">
      <c r="A257" s="35">
        <v>254</v>
      </c>
      <c r="B257" s="36">
        <v>46107</v>
      </c>
      <c r="C257" s="35" t="s">
        <v>577</v>
      </c>
      <c r="D257" s="35">
        <v>19560582004</v>
      </c>
      <c r="E257" s="35" t="s">
        <v>168</v>
      </c>
      <c r="F257" s="35" t="s">
        <v>189</v>
      </c>
      <c r="G257" s="35" t="s">
        <v>211</v>
      </c>
      <c r="H257" s="35" t="s">
        <v>162</v>
      </c>
      <c r="I257" s="35"/>
      <c r="J257" s="56">
        <v>46109.6875</v>
      </c>
      <c r="K257" s="35" t="s">
        <v>171</v>
      </c>
      <c r="L257" s="35" t="s">
        <v>742</v>
      </c>
      <c r="M257" s="35"/>
      <c r="N257" s="35" t="s">
        <v>387</v>
      </c>
      <c r="O257" s="35">
        <v>79</v>
      </c>
      <c r="P257" s="121" t="s">
        <v>762</v>
      </c>
      <c r="Q257" s="35"/>
      <c r="R257" s="35"/>
      <c r="S257" s="35"/>
      <c r="T257" s="35"/>
      <c r="U257" s="35"/>
      <c r="V257" s="35"/>
    </row>
    <row r="258" spans="1:22">
      <c r="A258" s="35">
        <v>255</v>
      </c>
      <c r="B258" s="36">
        <v>46108</v>
      </c>
      <c r="C258" s="35" t="s">
        <v>763</v>
      </c>
      <c r="D258" s="35">
        <v>13105570431</v>
      </c>
      <c r="E258" s="35" t="s">
        <v>543</v>
      </c>
      <c r="F258" s="35" t="s">
        <v>189</v>
      </c>
      <c r="G258" s="35" t="s">
        <v>719</v>
      </c>
      <c r="H258" s="35" t="s">
        <v>162</v>
      </c>
      <c r="I258" s="35"/>
      <c r="J258" s="56">
        <v>46109.6041666667</v>
      </c>
      <c r="K258" s="35" t="s">
        <v>392</v>
      </c>
      <c r="L258" s="35" t="s">
        <v>170</v>
      </c>
      <c r="M258" s="35"/>
      <c r="N258" s="35" t="s">
        <v>335</v>
      </c>
      <c r="O258" s="35">
        <v>34</v>
      </c>
      <c r="P258" s="121" t="s">
        <v>764</v>
      </c>
      <c r="Q258" s="35"/>
      <c r="R258" s="35"/>
      <c r="S258" s="35"/>
      <c r="T258" s="35"/>
      <c r="U258" s="35"/>
      <c r="V258" s="35"/>
    </row>
    <row r="259" spans="1:22">
      <c r="A259" s="35">
        <v>256</v>
      </c>
      <c r="B259" s="36">
        <v>46109</v>
      </c>
      <c r="C259" s="35" t="s">
        <v>246</v>
      </c>
      <c r="D259" s="35"/>
      <c r="E259" s="35" t="s">
        <v>725</v>
      </c>
      <c r="F259" s="35" t="s">
        <v>189</v>
      </c>
      <c r="G259" s="35"/>
      <c r="H259" s="35" t="s">
        <v>200</v>
      </c>
      <c r="I259" s="35"/>
      <c r="J259" s="56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</row>
    <row r="260" spans="1:22">
      <c r="A260" s="35">
        <v>257</v>
      </c>
      <c r="B260" s="36">
        <v>46110</v>
      </c>
      <c r="C260" s="35" t="s">
        <v>252</v>
      </c>
      <c r="D260" s="35">
        <v>15321132706</v>
      </c>
      <c r="E260" s="35" t="s">
        <v>765</v>
      </c>
      <c r="F260" s="35" t="s">
        <v>189</v>
      </c>
      <c r="G260" s="35" t="s">
        <v>177</v>
      </c>
      <c r="H260" s="35" t="s">
        <v>162</v>
      </c>
      <c r="I260" s="35"/>
      <c r="J260" s="56">
        <v>46112.6458333333</v>
      </c>
      <c r="K260" s="35" t="s">
        <v>370</v>
      </c>
      <c r="L260" s="35" t="s">
        <v>177</v>
      </c>
      <c r="M260" s="35"/>
      <c r="N260" s="35" t="s">
        <v>546</v>
      </c>
      <c r="O260" s="35">
        <v>199</v>
      </c>
      <c r="P260" s="121" t="s">
        <v>766</v>
      </c>
      <c r="Q260" s="35"/>
      <c r="R260" s="35"/>
      <c r="S260" s="35"/>
      <c r="T260" s="35"/>
      <c r="U260" s="35"/>
      <c r="V260" s="35"/>
    </row>
    <row r="261" spans="1:22">
      <c r="A261" s="35">
        <v>258</v>
      </c>
      <c r="B261" s="36">
        <v>46111</v>
      </c>
      <c r="C261" s="35" t="s">
        <v>767</v>
      </c>
      <c r="D261" s="35">
        <v>18858452743</v>
      </c>
      <c r="E261" s="35" t="s">
        <v>315</v>
      </c>
      <c r="F261" s="35" t="s">
        <v>189</v>
      </c>
      <c r="G261" s="35" t="s">
        <v>719</v>
      </c>
      <c r="H261" s="35" t="s">
        <v>162</v>
      </c>
      <c r="I261" s="35"/>
      <c r="J261" s="56">
        <v>46114.4375</v>
      </c>
      <c r="K261" s="35" t="s">
        <v>196</v>
      </c>
      <c r="L261" s="35" t="s">
        <v>719</v>
      </c>
      <c r="M261" s="35"/>
      <c r="N261" s="35" t="s">
        <v>662</v>
      </c>
      <c r="O261" s="35">
        <v>119</v>
      </c>
      <c r="P261" s="121" t="s">
        <v>768</v>
      </c>
      <c r="Q261" s="35"/>
      <c r="R261" s="35"/>
      <c r="S261" s="35"/>
      <c r="T261" s="35"/>
      <c r="U261" s="35"/>
      <c r="V261" s="35"/>
    </row>
    <row r="262" spans="1:22">
      <c r="A262" s="35">
        <v>259</v>
      </c>
      <c r="B262" s="36">
        <v>46111</v>
      </c>
      <c r="C262" s="35" t="s">
        <v>769</v>
      </c>
      <c r="D262" s="35">
        <v>13857868504</v>
      </c>
      <c r="E262" s="35" t="s">
        <v>168</v>
      </c>
      <c r="F262" s="35" t="s">
        <v>189</v>
      </c>
      <c r="G262" s="35"/>
      <c r="H262" s="35" t="s">
        <v>200</v>
      </c>
      <c r="I262" s="35" t="s">
        <v>770</v>
      </c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</row>
    <row r="263" spans="1:22">
      <c r="A263" s="35">
        <v>260</v>
      </c>
      <c r="B263" s="36">
        <v>46112</v>
      </c>
      <c r="C263" s="35" t="s">
        <v>771</v>
      </c>
      <c r="D263" s="35">
        <v>13486072134</v>
      </c>
      <c r="E263" s="35" t="s">
        <v>725</v>
      </c>
      <c r="F263" s="35" t="s">
        <v>189</v>
      </c>
      <c r="G263" s="35"/>
      <c r="H263" s="35" t="s">
        <v>200</v>
      </c>
      <c r="I263" s="35" t="s">
        <v>722</v>
      </c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</row>
    <row r="264" spans="1:22">
      <c r="A264" s="35">
        <v>261</v>
      </c>
      <c r="B264" s="36">
        <v>46112</v>
      </c>
      <c r="C264" s="35" t="s">
        <v>772</v>
      </c>
      <c r="D264" s="35">
        <v>18858025554</v>
      </c>
      <c r="E264" s="35" t="s">
        <v>773</v>
      </c>
      <c r="F264" s="35" t="s">
        <v>169</v>
      </c>
      <c r="G264" s="35"/>
      <c r="H264" s="35" t="s">
        <v>200</v>
      </c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</row>
    <row r="265" ht="31.5" spans="1:22">
      <c r="A265" s="35">
        <v>262</v>
      </c>
      <c r="B265" s="36">
        <v>46112</v>
      </c>
      <c r="C265" s="38" t="s">
        <v>774</v>
      </c>
      <c r="D265" s="35">
        <v>19564870274</v>
      </c>
      <c r="E265" s="35" t="s">
        <v>775</v>
      </c>
      <c r="F265" s="35" t="s">
        <v>267</v>
      </c>
      <c r="G265" s="35" t="s">
        <v>177</v>
      </c>
      <c r="H265" s="35" t="s">
        <v>162</v>
      </c>
      <c r="I265" s="35"/>
      <c r="J265" s="56">
        <v>46116.6875</v>
      </c>
      <c r="K265" s="35" t="s">
        <v>731</v>
      </c>
      <c r="L265" s="35" t="s">
        <v>211</v>
      </c>
      <c r="M265" s="35"/>
      <c r="N265" s="35"/>
      <c r="O265" s="35"/>
      <c r="P265" s="35"/>
      <c r="Q265" s="35" t="s">
        <v>688</v>
      </c>
      <c r="R265" s="35">
        <v>299</v>
      </c>
      <c r="S265" s="35"/>
      <c r="T265" s="35"/>
      <c r="U265" s="35"/>
      <c r="V265" s="35"/>
    </row>
    <row r="266" spans="1:22">
      <c r="A266" s="35">
        <v>263</v>
      </c>
      <c r="B266" s="36">
        <v>46112</v>
      </c>
      <c r="C266" s="35" t="s">
        <v>776</v>
      </c>
      <c r="D266" s="35">
        <v>13566047747</v>
      </c>
      <c r="E266" s="35" t="s">
        <v>777</v>
      </c>
      <c r="F266" s="35" t="s">
        <v>189</v>
      </c>
      <c r="G266" s="35" t="s">
        <v>719</v>
      </c>
      <c r="H266" s="35" t="s">
        <v>200</v>
      </c>
      <c r="I266" s="35"/>
      <c r="J266" s="35"/>
      <c r="K266" s="35"/>
      <c r="L266" s="35"/>
      <c r="M266" s="35"/>
      <c r="N266" s="35"/>
      <c r="O266" s="35"/>
      <c r="P266" s="35"/>
      <c r="Q266" s="35" t="s">
        <v>688</v>
      </c>
      <c r="R266" s="35">
        <v>299</v>
      </c>
      <c r="S266" s="35"/>
      <c r="T266" s="35"/>
      <c r="U266" s="35"/>
      <c r="V266" s="35"/>
    </row>
    <row r="267" s="20" customFormat="1" spans="1:22">
      <c r="A267" s="53">
        <v>264</v>
      </c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</row>
    <row r="268" spans="1:22">
      <c r="A268" s="35">
        <v>265</v>
      </c>
      <c r="B268" s="36">
        <v>46113</v>
      </c>
      <c r="C268" s="35" t="s">
        <v>778</v>
      </c>
      <c r="D268" s="35">
        <v>13777097913</v>
      </c>
      <c r="E268" s="35" t="s">
        <v>779</v>
      </c>
      <c r="F268" s="35" t="s">
        <v>189</v>
      </c>
      <c r="G268" s="35" t="s">
        <v>719</v>
      </c>
      <c r="H268" s="35" t="s">
        <v>162</v>
      </c>
      <c r="I268" s="35"/>
      <c r="J268" s="56">
        <v>46118.5416666667</v>
      </c>
      <c r="K268" s="35" t="s">
        <v>296</v>
      </c>
      <c r="L268" s="35" t="s">
        <v>719</v>
      </c>
      <c r="M268" s="35"/>
      <c r="N268" s="35" t="s">
        <v>531</v>
      </c>
      <c r="O268" s="35">
        <v>247</v>
      </c>
      <c r="P268" s="121" t="s">
        <v>780</v>
      </c>
      <c r="Q268" s="35"/>
      <c r="R268" s="35"/>
      <c r="S268" s="35"/>
      <c r="T268" s="35"/>
      <c r="U268" s="35"/>
      <c r="V268" s="35"/>
    </row>
    <row r="269" ht="47.25" spans="1:22">
      <c r="A269" s="35">
        <v>266</v>
      </c>
      <c r="B269" s="36">
        <v>46113</v>
      </c>
      <c r="C269" s="35" t="s">
        <v>781</v>
      </c>
      <c r="D269" s="35">
        <v>13857868504</v>
      </c>
      <c r="E269" s="35" t="s">
        <v>725</v>
      </c>
      <c r="F269" s="35" t="s">
        <v>189</v>
      </c>
      <c r="G269" s="35" t="s">
        <v>210</v>
      </c>
      <c r="H269" s="35" t="s">
        <v>162</v>
      </c>
      <c r="I269" s="35"/>
      <c r="J269" s="56">
        <v>46113.75</v>
      </c>
      <c r="K269" s="35" t="s">
        <v>171</v>
      </c>
      <c r="L269" s="35" t="s">
        <v>211</v>
      </c>
      <c r="M269" s="35"/>
      <c r="N269" s="35" t="s">
        <v>743</v>
      </c>
      <c r="O269" s="35">
        <v>189.99</v>
      </c>
      <c r="P269" s="38" t="s">
        <v>782</v>
      </c>
      <c r="Q269" s="35"/>
      <c r="R269" s="35"/>
      <c r="S269" s="35"/>
      <c r="T269" s="35"/>
      <c r="U269" s="35"/>
      <c r="V269" s="35"/>
    </row>
    <row r="270" spans="1:22">
      <c r="A270" s="35">
        <v>267</v>
      </c>
      <c r="B270" s="36">
        <v>46113</v>
      </c>
      <c r="C270" s="35" t="s">
        <v>783</v>
      </c>
      <c r="D270" s="35"/>
      <c r="E270" s="35" t="s">
        <v>784</v>
      </c>
      <c r="F270" s="35" t="s">
        <v>189</v>
      </c>
      <c r="G270" s="35"/>
      <c r="H270" s="35" t="s">
        <v>200</v>
      </c>
      <c r="I270" s="35"/>
      <c r="J270" s="56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</row>
    <row r="271" spans="1:22">
      <c r="A271" s="35">
        <v>268</v>
      </c>
      <c r="B271" s="36">
        <v>46114</v>
      </c>
      <c r="C271" s="35" t="s">
        <v>317</v>
      </c>
      <c r="D271" s="35">
        <v>18768158283</v>
      </c>
      <c r="E271" s="35" t="s">
        <v>785</v>
      </c>
      <c r="F271" s="35" t="s">
        <v>189</v>
      </c>
      <c r="G271" s="35"/>
      <c r="H271" s="35" t="s">
        <v>200</v>
      </c>
      <c r="I271" s="35"/>
      <c r="J271" s="56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</row>
    <row r="272" spans="1:22">
      <c r="A272" s="35">
        <v>269</v>
      </c>
      <c r="B272" s="36">
        <v>46115</v>
      </c>
      <c r="C272" s="35" t="s">
        <v>786</v>
      </c>
      <c r="D272" s="35">
        <v>18658211501</v>
      </c>
      <c r="E272" s="35" t="s">
        <v>578</v>
      </c>
      <c r="F272" s="35" t="s">
        <v>189</v>
      </c>
      <c r="G272" s="35" t="s">
        <v>210</v>
      </c>
      <c r="H272" s="35" t="s">
        <v>162</v>
      </c>
      <c r="I272" s="35"/>
      <c r="J272" s="56">
        <v>46120.7083333333</v>
      </c>
      <c r="K272" s="35" t="s">
        <v>787</v>
      </c>
      <c r="L272" s="35" t="s">
        <v>170</v>
      </c>
      <c r="M272" s="35"/>
      <c r="N272" s="35" t="s">
        <v>454</v>
      </c>
      <c r="O272" s="35">
        <v>399</v>
      </c>
      <c r="P272" s="121" t="s">
        <v>788</v>
      </c>
      <c r="Q272" s="35"/>
      <c r="R272" s="35"/>
      <c r="S272" s="35"/>
      <c r="T272" s="35"/>
      <c r="U272" s="35"/>
      <c r="V272" s="35"/>
    </row>
    <row r="273" spans="1:22">
      <c r="A273" s="35">
        <v>270</v>
      </c>
      <c r="B273" s="36">
        <v>46115</v>
      </c>
      <c r="C273" s="35" t="s">
        <v>789</v>
      </c>
      <c r="D273" s="35">
        <v>18656881497</v>
      </c>
      <c r="E273" s="35" t="s">
        <v>790</v>
      </c>
      <c r="F273" s="35" t="s">
        <v>189</v>
      </c>
      <c r="G273" s="35"/>
      <c r="H273" s="35" t="s">
        <v>200</v>
      </c>
      <c r="I273" s="51"/>
      <c r="J273" s="56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</row>
    <row r="274" spans="1:22">
      <c r="A274" s="35">
        <v>271</v>
      </c>
      <c r="B274" s="36">
        <v>46117</v>
      </c>
      <c r="C274" s="35" t="s">
        <v>769</v>
      </c>
      <c r="D274" s="35">
        <v>13670149616</v>
      </c>
      <c r="E274" s="35" t="s">
        <v>315</v>
      </c>
      <c r="F274" s="35" t="s">
        <v>189</v>
      </c>
      <c r="G274" s="35" t="s">
        <v>791</v>
      </c>
      <c r="H274" s="35" t="s">
        <v>162</v>
      </c>
      <c r="I274" s="51" t="s">
        <v>792</v>
      </c>
      <c r="J274" s="56">
        <v>46117.6041666667</v>
      </c>
      <c r="K274" s="35" t="s">
        <v>196</v>
      </c>
      <c r="L274" s="35" t="s">
        <v>190</v>
      </c>
      <c r="M274" s="35"/>
      <c r="N274" s="35" t="s">
        <v>662</v>
      </c>
      <c r="O274" s="35">
        <v>113</v>
      </c>
      <c r="P274" s="121" t="s">
        <v>793</v>
      </c>
      <c r="Q274" s="35"/>
      <c r="R274" s="35"/>
      <c r="S274" s="35"/>
      <c r="T274" s="35"/>
      <c r="U274" s="35"/>
      <c r="V274" s="35"/>
    </row>
    <row r="275" spans="1:22">
      <c r="A275" s="35">
        <v>272</v>
      </c>
      <c r="B275" s="36">
        <v>46117</v>
      </c>
      <c r="C275" s="35" t="s">
        <v>794</v>
      </c>
      <c r="D275" s="35">
        <v>15219460043</v>
      </c>
      <c r="E275" s="35" t="s">
        <v>315</v>
      </c>
      <c r="F275" s="35" t="s">
        <v>189</v>
      </c>
      <c r="G275" s="35" t="s">
        <v>791</v>
      </c>
      <c r="H275" s="35" t="s">
        <v>162</v>
      </c>
      <c r="I275" s="52"/>
      <c r="J275" s="56">
        <v>46117.6041666667</v>
      </c>
      <c r="K275" s="35" t="s">
        <v>196</v>
      </c>
      <c r="L275" s="35" t="s">
        <v>190</v>
      </c>
      <c r="M275" s="35"/>
      <c r="N275" s="35" t="s">
        <v>662</v>
      </c>
      <c r="O275" s="35">
        <v>113</v>
      </c>
      <c r="P275" s="121" t="s">
        <v>795</v>
      </c>
      <c r="Q275" s="35"/>
      <c r="R275" s="35"/>
      <c r="S275" s="35"/>
      <c r="T275" s="35"/>
      <c r="U275" s="35"/>
      <c r="V275" s="35"/>
    </row>
    <row r="276" ht="47.25" spans="1:22">
      <c r="A276" s="35">
        <v>273</v>
      </c>
      <c r="B276" s="36">
        <v>46117</v>
      </c>
      <c r="C276" s="35" t="s">
        <v>796</v>
      </c>
      <c r="D276" s="35">
        <v>18768529036</v>
      </c>
      <c r="E276" s="35" t="s">
        <v>797</v>
      </c>
      <c r="F276" s="35" t="s">
        <v>189</v>
      </c>
      <c r="G276" s="35" t="s">
        <v>177</v>
      </c>
      <c r="H276" s="35" t="s">
        <v>162</v>
      </c>
      <c r="I276" s="35"/>
      <c r="J276" s="56">
        <v>46120.375</v>
      </c>
      <c r="K276" s="35" t="s">
        <v>171</v>
      </c>
      <c r="L276" s="35" t="s">
        <v>172</v>
      </c>
      <c r="M276" s="35"/>
      <c r="N276" s="35" t="s">
        <v>743</v>
      </c>
      <c r="O276" s="35">
        <v>189.99</v>
      </c>
      <c r="P276" s="122" t="s">
        <v>798</v>
      </c>
      <c r="Q276" s="35"/>
      <c r="R276" s="35"/>
      <c r="S276" s="35"/>
      <c r="T276" s="35"/>
      <c r="U276" s="35"/>
      <c r="V276" s="35"/>
    </row>
    <row r="277" ht="47.25" spans="1:22">
      <c r="A277" s="35">
        <v>274</v>
      </c>
      <c r="B277" s="36">
        <v>46117</v>
      </c>
      <c r="C277" s="35" t="s">
        <v>799</v>
      </c>
      <c r="D277" s="35">
        <v>13858232639</v>
      </c>
      <c r="E277" s="35" t="s">
        <v>800</v>
      </c>
      <c r="F277" s="35" t="s">
        <v>189</v>
      </c>
      <c r="G277" s="35" t="s">
        <v>211</v>
      </c>
      <c r="H277" s="35" t="s">
        <v>162</v>
      </c>
      <c r="I277" s="35"/>
      <c r="J277" s="56">
        <v>46121.7569444444</v>
      </c>
      <c r="K277" s="35" t="s">
        <v>801</v>
      </c>
      <c r="L277" s="35" t="s">
        <v>170</v>
      </c>
      <c r="M277" s="35"/>
      <c r="N277" s="35" t="s">
        <v>743</v>
      </c>
      <c r="O277" s="35">
        <v>189.99</v>
      </c>
      <c r="P277" s="122" t="s">
        <v>802</v>
      </c>
      <c r="Q277" s="35"/>
      <c r="R277" s="35"/>
      <c r="S277" s="35"/>
      <c r="T277" s="35"/>
      <c r="U277" s="35"/>
      <c r="V277" s="35"/>
    </row>
    <row r="278" spans="1:22">
      <c r="A278" s="35">
        <v>275</v>
      </c>
      <c r="B278" s="36">
        <v>46117</v>
      </c>
      <c r="C278" s="35" t="s">
        <v>803</v>
      </c>
      <c r="D278" s="51">
        <v>13757436036</v>
      </c>
      <c r="E278" s="35" t="s">
        <v>804</v>
      </c>
      <c r="F278" s="35" t="s">
        <v>189</v>
      </c>
      <c r="G278" s="35" t="s">
        <v>719</v>
      </c>
      <c r="H278" s="35" t="s">
        <v>162</v>
      </c>
      <c r="I278" s="35"/>
      <c r="J278" s="56">
        <v>46122.5</v>
      </c>
      <c r="K278" s="35" t="s">
        <v>171</v>
      </c>
      <c r="L278" s="35" t="s">
        <v>172</v>
      </c>
      <c r="M278" s="35"/>
      <c r="N278" s="51" t="s">
        <v>743</v>
      </c>
      <c r="O278" s="51">
        <v>199.99</v>
      </c>
      <c r="P278" s="44" t="s">
        <v>805</v>
      </c>
      <c r="Q278" s="35"/>
      <c r="R278" s="35"/>
      <c r="S278" s="35"/>
      <c r="T278" s="35"/>
      <c r="U278" s="35"/>
      <c r="V278" s="35"/>
    </row>
    <row r="279" spans="1:22">
      <c r="A279" s="35">
        <v>276</v>
      </c>
      <c r="B279" s="36">
        <v>46117</v>
      </c>
      <c r="C279" s="35" t="s">
        <v>806</v>
      </c>
      <c r="D279" s="52"/>
      <c r="E279" s="35" t="s">
        <v>807</v>
      </c>
      <c r="F279" s="35" t="s">
        <v>189</v>
      </c>
      <c r="G279" s="35" t="s">
        <v>719</v>
      </c>
      <c r="H279" s="35" t="s">
        <v>162</v>
      </c>
      <c r="I279" s="35"/>
      <c r="J279" s="56">
        <v>46122.5</v>
      </c>
      <c r="K279" s="35" t="s">
        <v>171</v>
      </c>
      <c r="L279" s="35" t="s">
        <v>172</v>
      </c>
      <c r="M279" s="35"/>
      <c r="N279" s="52"/>
      <c r="O279" s="52"/>
      <c r="P279" s="45"/>
      <c r="Q279" s="35"/>
      <c r="R279" s="35"/>
      <c r="S279" s="35"/>
      <c r="T279" s="35"/>
      <c r="U279" s="35"/>
      <c r="V279" s="35"/>
    </row>
    <row r="280" spans="1:22">
      <c r="A280" s="35">
        <v>277</v>
      </c>
      <c r="B280" s="36">
        <v>46117</v>
      </c>
      <c r="C280" s="35" t="s">
        <v>808</v>
      </c>
      <c r="D280" s="52">
        <v>13780018035</v>
      </c>
      <c r="E280" s="35" t="s">
        <v>315</v>
      </c>
      <c r="F280" s="35" t="s">
        <v>267</v>
      </c>
      <c r="G280" s="35"/>
      <c r="H280" s="35" t="s">
        <v>200</v>
      </c>
      <c r="I280" s="35"/>
      <c r="J280" s="56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</row>
    <row r="281" spans="1:22">
      <c r="A281" s="35">
        <v>278</v>
      </c>
      <c r="B281" s="36">
        <v>46118</v>
      </c>
      <c r="C281" s="35" t="s">
        <v>809</v>
      </c>
      <c r="D281" s="35">
        <v>19817126133</v>
      </c>
      <c r="E281" s="35" t="s">
        <v>810</v>
      </c>
      <c r="F281" s="35" t="s">
        <v>189</v>
      </c>
      <c r="G281" s="35" t="s">
        <v>210</v>
      </c>
      <c r="H281" s="35" t="s">
        <v>162</v>
      </c>
      <c r="I281" s="35"/>
      <c r="J281" s="56">
        <v>46119.5034722222</v>
      </c>
      <c r="K281" s="35" t="s">
        <v>309</v>
      </c>
      <c r="L281" s="35" t="s">
        <v>343</v>
      </c>
      <c r="M281" s="35"/>
      <c r="N281" s="35" t="s">
        <v>285</v>
      </c>
      <c r="O281" s="35">
        <v>93</v>
      </c>
      <c r="P281" s="121" t="s">
        <v>811</v>
      </c>
      <c r="Q281" s="35"/>
      <c r="R281" s="35"/>
      <c r="S281" s="35"/>
      <c r="T281" s="35"/>
      <c r="U281" s="35"/>
      <c r="V281" s="35"/>
    </row>
    <row r="282" ht="47.25" spans="1:22">
      <c r="A282" s="35">
        <v>279</v>
      </c>
      <c r="B282" s="36">
        <v>46119</v>
      </c>
      <c r="C282" s="35" t="s">
        <v>812</v>
      </c>
      <c r="D282" s="35">
        <v>13884459237</v>
      </c>
      <c r="E282" s="35" t="s">
        <v>726</v>
      </c>
      <c r="F282" s="35" t="s">
        <v>189</v>
      </c>
      <c r="G282" s="35" t="s">
        <v>211</v>
      </c>
      <c r="H282" s="35" t="s">
        <v>162</v>
      </c>
      <c r="I282" s="35"/>
      <c r="J282" s="56">
        <v>46123.6875</v>
      </c>
      <c r="K282" s="35" t="s">
        <v>726</v>
      </c>
      <c r="L282" s="35" t="s">
        <v>170</v>
      </c>
      <c r="M282" s="35" t="s">
        <v>162</v>
      </c>
      <c r="N282" s="35" t="s">
        <v>285</v>
      </c>
      <c r="O282" s="35">
        <v>189.99</v>
      </c>
      <c r="P282" s="38" t="s">
        <v>813</v>
      </c>
      <c r="Q282" s="35" t="s">
        <v>283</v>
      </c>
      <c r="R282" s="35">
        <v>1946</v>
      </c>
      <c r="S282" s="35"/>
      <c r="T282" s="35"/>
      <c r="U282" s="35"/>
      <c r="V282" s="35"/>
    </row>
    <row r="283" spans="1:22">
      <c r="A283" s="35">
        <v>280</v>
      </c>
      <c r="B283" s="36">
        <v>46119</v>
      </c>
      <c r="C283" s="35" t="s">
        <v>814</v>
      </c>
      <c r="D283" s="51">
        <v>13306672423</v>
      </c>
      <c r="E283" s="35" t="s">
        <v>584</v>
      </c>
      <c r="F283" s="35" t="s">
        <v>189</v>
      </c>
      <c r="G283" s="35" t="s">
        <v>719</v>
      </c>
      <c r="H283" s="35" t="s">
        <v>162</v>
      </c>
      <c r="I283" s="35"/>
      <c r="J283" s="56">
        <v>46120.8020833333</v>
      </c>
      <c r="K283" s="35" t="s">
        <v>342</v>
      </c>
      <c r="L283" s="35" t="s">
        <v>343</v>
      </c>
      <c r="M283" s="35"/>
      <c r="N283" s="35" t="s">
        <v>335</v>
      </c>
      <c r="O283" s="35">
        <v>34</v>
      </c>
      <c r="P283" s="121" t="s">
        <v>815</v>
      </c>
      <c r="Q283" s="35"/>
      <c r="R283" s="35"/>
      <c r="S283" s="35"/>
      <c r="T283" s="35"/>
      <c r="U283" s="35"/>
      <c r="V283" s="35"/>
    </row>
    <row r="284" spans="1:22">
      <c r="A284" s="35">
        <v>281</v>
      </c>
      <c r="B284" s="36">
        <v>46119</v>
      </c>
      <c r="C284" s="35" t="s">
        <v>560</v>
      </c>
      <c r="D284" s="52"/>
      <c r="E284" s="35" t="s">
        <v>584</v>
      </c>
      <c r="F284" s="35" t="s">
        <v>189</v>
      </c>
      <c r="G284" s="35" t="s">
        <v>719</v>
      </c>
      <c r="H284" s="35" t="s">
        <v>162</v>
      </c>
      <c r="I284" s="35"/>
      <c r="J284" s="56">
        <v>46120.8020833333</v>
      </c>
      <c r="K284" s="35" t="s">
        <v>342</v>
      </c>
      <c r="L284" s="35" t="s">
        <v>343</v>
      </c>
      <c r="M284" s="35"/>
      <c r="N284" s="35" t="s">
        <v>335</v>
      </c>
      <c r="O284" s="35">
        <v>34</v>
      </c>
      <c r="P284" s="121" t="s">
        <v>816</v>
      </c>
      <c r="Q284" s="35"/>
      <c r="R284" s="35"/>
      <c r="S284" s="35"/>
      <c r="T284" s="35"/>
      <c r="U284" s="35"/>
      <c r="V284" s="35"/>
    </row>
    <row r="285" spans="1:22">
      <c r="A285" s="35">
        <v>282</v>
      </c>
      <c r="B285" s="36">
        <v>46119</v>
      </c>
      <c r="C285" s="35" t="s">
        <v>817</v>
      </c>
      <c r="D285" s="51">
        <v>13655712334</v>
      </c>
      <c r="E285" s="35" t="s">
        <v>315</v>
      </c>
      <c r="F285" s="35" t="s">
        <v>189</v>
      </c>
      <c r="G285" s="35" t="s">
        <v>719</v>
      </c>
      <c r="H285" s="35" t="s">
        <v>162</v>
      </c>
      <c r="I285" s="35"/>
      <c r="J285" s="56">
        <v>46120.6666666667</v>
      </c>
      <c r="K285" s="35" t="s">
        <v>707</v>
      </c>
      <c r="L285" s="35" t="s">
        <v>719</v>
      </c>
      <c r="M285" s="35" t="s">
        <v>162</v>
      </c>
      <c r="N285" s="51" t="s">
        <v>405</v>
      </c>
      <c r="O285" s="51">
        <v>367</v>
      </c>
      <c r="P285" s="123" t="s">
        <v>818</v>
      </c>
      <c r="Q285" s="35" t="s">
        <v>283</v>
      </c>
      <c r="R285" s="35">
        <v>1946</v>
      </c>
      <c r="S285" s="35"/>
      <c r="T285" s="35"/>
      <c r="U285" s="35"/>
      <c r="V285" s="35"/>
    </row>
    <row r="286" spans="1:22">
      <c r="A286" s="35">
        <v>283</v>
      </c>
      <c r="B286" s="36">
        <v>46119</v>
      </c>
      <c r="C286" s="35" t="s">
        <v>819</v>
      </c>
      <c r="D286" s="52"/>
      <c r="E286" s="35" t="s">
        <v>315</v>
      </c>
      <c r="F286" s="35" t="s">
        <v>189</v>
      </c>
      <c r="G286" s="35" t="s">
        <v>719</v>
      </c>
      <c r="H286" s="35" t="s">
        <v>162</v>
      </c>
      <c r="I286" s="35"/>
      <c r="J286" s="56">
        <v>46120.6666666667</v>
      </c>
      <c r="K286" s="35" t="s">
        <v>707</v>
      </c>
      <c r="L286" s="35" t="s">
        <v>719</v>
      </c>
      <c r="M286" s="35"/>
      <c r="N286" s="52"/>
      <c r="O286" s="52"/>
      <c r="P286" s="52"/>
      <c r="Q286" s="35"/>
      <c r="R286" s="35"/>
      <c r="S286" s="35"/>
      <c r="T286" s="35"/>
      <c r="U286" s="35"/>
      <c r="V286" s="35"/>
    </row>
    <row r="287" spans="1:22">
      <c r="A287" s="35">
        <v>284</v>
      </c>
      <c r="B287" s="36">
        <v>46119</v>
      </c>
      <c r="C287" s="35" t="s">
        <v>820</v>
      </c>
      <c r="D287" s="35">
        <v>13586844042</v>
      </c>
      <c r="E287" s="35" t="s">
        <v>315</v>
      </c>
      <c r="F287" s="35" t="s">
        <v>267</v>
      </c>
      <c r="G287" s="35"/>
      <c r="H287" s="35" t="s">
        <v>200</v>
      </c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</row>
    <row r="288" spans="1:22">
      <c r="A288" s="35">
        <v>285</v>
      </c>
      <c r="B288" s="36">
        <v>46120</v>
      </c>
      <c r="C288" s="35" t="s">
        <v>821</v>
      </c>
      <c r="D288" s="35">
        <v>13777094335</v>
      </c>
      <c r="E288" s="35" t="s">
        <v>159</v>
      </c>
      <c r="F288" s="35" t="s">
        <v>189</v>
      </c>
      <c r="G288" s="35" t="s">
        <v>211</v>
      </c>
      <c r="H288" s="35" t="s">
        <v>162</v>
      </c>
      <c r="I288" s="35"/>
      <c r="J288" s="56">
        <v>46120.8125</v>
      </c>
      <c r="K288" s="35" t="s">
        <v>296</v>
      </c>
      <c r="L288" s="35" t="s">
        <v>211</v>
      </c>
      <c r="M288" s="35"/>
      <c r="N288" s="35" t="s">
        <v>531</v>
      </c>
      <c r="O288" s="35">
        <v>247</v>
      </c>
      <c r="P288" s="121" t="s">
        <v>822</v>
      </c>
      <c r="Q288" s="35"/>
      <c r="R288" s="35"/>
      <c r="S288" s="35"/>
      <c r="T288" s="35"/>
      <c r="U288" s="35"/>
      <c r="V288" s="35"/>
    </row>
    <row r="289" spans="1:22">
      <c r="A289" s="35">
        <v>286</v>
      </c>
      <c r="B289" s="36">
        <v>46121</v>
      </c>
      <c r="C289" s="35" t="s">
        <v>823</v>
      </c>
      <c r="D289" s="35">
        <v>18331585735</v>
      </c>
      <c r="E289" s="35" t="s">
        <v>584</v>
      </c>
      <c r="F289" s="35" t="s">
        <v>189</v>
      </c>
      <c r="G289" s="35" t="s">
        <v>210</v>
      </c>
      <c r="H289" s="35" t="s">
        <v>162</v>
      </c>
      <c r="I289" s="35"/>
      <c r="J289" s="56">
        <v>46121.8020833333</v>
      </c>
      <c r="K289" s="35" t="s">
        <v>824</v>
      </c>
      <c r="L289" s="35" t="s">
        <v>825</v>
      </c>
      <c r="M289" s="35"/>
      <c r="N289" s="35" t="s">
        <v>285</v>
      </c>
      <c r="O289" s="35">
        <v>93</v>
      </c>
      <c r="P289" s="121" t="s">
        <v>826</v>
      </c>
      <c r="Q289" s="35"/>
      <c r="R289" s="35"/>
      <c r="S289" s="35"/>
      <c r="T289" s="35"/>
      <c r="U289" s="35"/>
      <c r="V289" s="35"/>
    </row>
    <row r="290" spans="1:22">
      <c r="A290" s="35">
        <v>287</v>
      </c>
      <c r="B290" s="36">
        <v>46122</v>
      </c>
      <c r="C290" s="35" t="s">
        <v>827</v>
      </c>
      <c r="D290" s="35">
        <v>13777133374</v>
      </c>
      <c r="E290" s="35" t="s">
        <v>315</v>
      </c>
      <c r="F290" s="35" t="s">
        <v>189</v>
      </c>
      <c r="G290" s="35" t="s">
        <v>791</v>
      </c>
      <c r="H290" s="35" t="s">
        <v>162</v>
      </c>
      <c r="I290" s="35" t="s">
        <v>792</v>
      </c>
      <c r="J290" s="56">
        <v>46123.5034722222</v>
      </c>
      <c r="K290" s="35" t="s">
        <v>196</v>
      </c>
      <c r="L290" s="35" t="s">
        <v>190</v>
      </c>
      <c r="M290" s="35"/>
      <c r="N290" s="35" t="s">
        <v>662</v>
      </c>
      <c r="O290" s="35">
        <v>113</v>
      </c>
      <c r="P290" s="121" t="s">
        <v>828</v>
      </c>
      <c r="Q290" s="35"/>
      <c r="R290" s="35"/>
      <c r="S290" s="35"/>
      <c r="T290" s="35"/>
      <c r="U290" s="35"/>
      <c r="V290" s="35"/>
    </row>
    <row r="291" spans="1:22">
      <c r="A291" s="35">
        <v>288</v>
      </c>
      <c r="B291" s="36">
        <v>46122</v>
      </c>
      <c r="C291" s="35" t="s">
        <v>829</v>
      </c>
      <c r="D291" s="35"/>
      <c r="E291" s="35" t="s">
        <v>315</v>
      </c>
      <c r="F291" s="35" t="s">
        <v>267</v>
      </c>
      <c r="G291" s="35"/>
      <c r="H291" s="35" t="s">
        <v>200</v>
      </c>
      <c r="I291" s="35"/>
      <c r="J291" s="56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</row>
    <row r="292" spans="1:22">
      <c r="A292" s="35">
        <v>289</v>
      </c>
      <c r="B292" s="36">
        <v>46124</v>
      </c>
      <c r="C292" s="35" t="s">
        <v>830</v>
      </c>
      <c r="D292" s="35">
        <v>13736144960</v>
      </c>
      <c r="E292" s="35" t="s">
        <v>831</v>
      </c>
      <c r="F292" s="35" t="s">
        <v>189</v>
      </c>
      <c r="G292" s="35" t="s">
        <v>177</v>
      </c>
      <c r="H292" s="35" t="s">
        <v>200</v>
      </c>
      <c r="I292" s="35" t="s">
        <v>366</v>
      </c>
      <c r="J292" s="56">
        <v>46126.8020833333</v>
      </c>
      <c r="K292" s="35" t="s">
        <v>171</v>
      </c>
      <c r="L292" s="35" t="s">
        <v>248</v>
      </c>
      <c r="M292" s="35"/>
      <c r="N292" s="35"/>
      <c r="O292" s="35"/>
      <c r="P292" s="35"/>
      <c r="Q292" s="35"/>
      <c r="R292" s="35"/>
      <c r="S292" s="35"/>
      <c r="T292" s="35"/>
      <c r="U292" s="35"/>
      <c r="V292" s="35"/>
    </row>
    <row r="293" spans="1:22">
      <c r="A293" s="35">
        <v>290</v>
      </c>
      <c r="B293" s="36">
        <v>46124</v>
      </c>
      <c r="C293" s="35" t="s">
        <v>832</v>
      </c>
      <c r="D293" s="35"/>
      <c r="E293" s="35" t="s">
        <v>725</v>
      </c>
      <c r="F293" s="35" t="s">
        <v>189</v>
      </c>
      <c r="G293" s="35"/>
      <c r="H293" s="35" t="s">
        <v>200</v>
      </c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</row>
    <row r="294" spans="1:22">
      <c r="A294" s="35">
        <v>291</v>
      </c>
      <c r="B294" s="36">
        <v>46125</v>
      </c>
      <c r="C294" s="35" t="s">
        <v>833</v>
      </c>
      <c r="D294" s="35">
        <v>19270638969</v>
      </c>
      <c r="E294" s="35" t="s">
        <v>725</v>
      </c>
      <c r="F294" s="35" t="s">
        <v>189</v>
      </c>
      <c r="G294" s="35" t="s">
        <v>210</v>
      </c>
      <c r="H294" s="35" t="s">
        <v>200</v>
      </c>
      <c r="I294" s="35" t="s">
        <v>366</v>
      </c>
      <c r="J294" s="56">
        <v>46129.6041666667</v>
      </c>
      <c r="K294" s="35" t="s">
        <v>171</v>
      </c>
      <c r="L294" s="35" t="s">
        <v>210</v>
      </c>
      <c r="M294" s="35"/>
      <c r="N294" s="35"/>
      <c r="O294" s="35"/>
      <c r="P294" s="35"/>
      <c r="Q294" s="35"/>
      <c r="R294" s="35"/>
      <c r="S294" s="35"/>
      <c r="T294" s="35"/>
      <c r="U294" s="35"/>
      <c r="V294" s="35"/>
    </row>
    <row r="295" spans="1:22">
      <c r="A295" s="35">
        <v>292</v>
      </c>
      <c r="B295" s="36">
        <v>46125</v>
      </c>
      <c r="C295" s="35" t="s">
        <v>834</v>
      </c>
      <c r="D295" s="35">
        <v>13586689597</v>
      </c>
      <c r="E295" s="35" t="s">
        <v>315</v>
      </c>
      <c r="F295" s="35" t="s">
        <v>267</v>
      </c>
      <c r="G295" s="35" t="s">
        <v>719</v>
      </c>
      <c r="H295" s="35" t="s">
        <v>200</v>
      </c>
      <c r="I295" s="35" t="s">
        <v>366</v>
      </c>
      <c r="J295" s="56">
        <v>46128.4375</v>
      </c>
      <c r="K295" s="35" t="s">
        <v>196</v>
      </c>
      <c r="L295" s="35" t="s">
        <v>719</v>
      </c>
      <c r="M295" s="35"/>
      <c r="N295" s="35"/>
      <c r="O295" s="35"/>
      <c r="P295" s="35"/>
      <c r="Q295" s="35"/>
      <c r="R295" s="35"/>
      <c r="S295" s="35"/>
      <c r="T295" s="35"/>
      <c r="U295" s="35"/>
      <c r="V295" s="35"/>
    </row>
    <row r="296" spans="1:22">
      <c r="A296" s="35">
        <v>293</v>
      </c>
      <c r="B296" s="36">
        <v>46125</v>
      </c>
      <c r="C296" s="35" t="s">
        <v>835</v>
      </c>
      <c r="D296" s="35">
        <v>13586734219</v>
      </c>
      <c r="E296" s="35" t="s">
        <v>315</v>
      </c>
      <c r="F296" s="35" t="s">
        <v>189</v>
      </c>
      <c r="G296" s="35"/>
      <c r="H296" s="35" t="s">
        <v>200</v>
      </c>
      <c r="I296" s="35"/>
      <c r="J296" s="56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</row>
    <row r="297" spans="1:22">
      <c r="A297" s="35">
        <v>294</v>
      </c>
      <c r="B297" s="36">
        <v>46126</v>
      </c>
      <c r="C297" s="35" t="s">
        <v>836</v>
      </c>
      <c r="D297" s="35">
        <v>17858932059</v>
      </c>
      <c r="E297" s="35" t="s">
        <v>584</v>
      </c>
      <c r="F297" s="35" t="s">
        <v>189</v>
      </c>
      <c r="G297" s="35" t="s">
        <v>177</v>
      </c>
      <c r="H297" s="35" t="s">
        <v>162</v>
      </c>
      <c r="I297" s="35"/>
      <c r="J297" s="56">
        <v>46128.5</v>
      </c>
      <c r="K297" s="35" t="s">
        <v>837</v>
      </c>
      <c r="L297" s="35" t="s">
        <v>210</v>
      </c>
      <c r="M297" s="35"/>
      <c r="N297" s="35" t="s">
        <v>335</v>
      </c>
      <c r="O297" s="35">
        <v>34</v>
      </c>
      <c r="P297" s="121" t="s">
        <v>838</v>
      </c>
      <c r="Q297" s="35"/>
      <c r="R297" s="35"/>
      <c r="S297" s="35"/>
      <c r="T297" s="35"/>
      <c r="U297" s="35"/>
      <c r="V297" s="35"/>
    </row>
    <row r="298" spans="1:22">
      <c r="A298" s="35">
        <v>295</v>
      </c>
      <c r="B298" s="36">
        <v>46126</v>
      </c>
      <c r="C298" s="35" t="s">
        <v>839</v>
      </c>
      <c r="D298" s="35">
        <v>15258229259</v>
      </c>
      <c r="E298" s="35" t="s">
        <v>584</v>
      </c>
      <c r="F298" s="35" t="s">
        <v>189</v>
      </c>
      <c r="G298" s="35" t="s">
        <v>177</v>
      </c>
      <c r="H298" s="35" t="s">
        <v>162</v>
      </c>
      <c r="I298" s="35"/>
      <c r="J298" s="56">
        <v>46128.5</v>
      </c>
      <c r="K298" s="35" t="s">
        <v>837</v>
      </c>
      <c r="L298" s="35" t="s">
        <v>210</v>
      </c>
      <c r="M298" s="35"/>
      <c r="N298" s="35" t="s">
        <v>335</v>
      </c>
      <c r="O298" s="35">
        <v>34</v>
      </c>
      <c r="P298" s="121" t="s">
        <v>840</v>
      </c>
      <c r="Q298" s="35"/>
      <c r="R298" s="35"/>
      <c r="S298" s="35"/>
      <c r="T298" s="35"/>
      <c r="U298" s="35"/>
      <c r="V298" s="35"/>
    </row>
    <row r="299" spans="1:22">
      <c r="A299" s="35">
        <v>296</v>
      </c>
      <c r="B299" s="36">
        <v>46126</v>
      </c>
      <c r="C299" s="35" t="s">
        <v>841</v>
      </c>
      <c r="D299" s="35">
        <v>13586943114</v>
      </c>
      <c r="E299" s="35" t="s">
        <v>584</v>
      </c>
      <c r="F299" s="35" t="s">
        <v>189</v>
      </c>
      <c r="G299" s="35" t="s">
        <v>177</v>
      </c>
      <c r="H299" s="35" t="s">
        <v>162</v>
      </c>
      <c r="I299" s="35"/>
      <c r="J299" s="56">
        <v>46128.5</v>
      </c>
      <c r="K299" s="35" t="s">
        <v>837</v>
      </c>
      <c r="L299" s="35" t="s">
        <v>210</v>
      </c>
      <c r="M299" s="35"/>
      <c r="N299" s="35" t="s">
        <v>335</v>
      </c>
      <c r="O299" s="35">
        <v>35</v>
      </c>
      <c r="P299" s="121" t="s">
        <v>842</v>
      </c>
      <c r="Q299" s="35"/>
      <c r="R299" s="35"/>
      <c r="S299" s="35"/>
      <c r="T299" s="35"/>
      <c r="U299" s="35"/>
      <c r="V299" s="35"/>
    </row>
    <row r="300" spans="1:22">
      <c r="A300" s="35">
        <v>297</v>
      </c>
      <c r="B300" s="36">
        <v>46129</v>
      </c>
      <c r="C300" s="35" t="s">
        <v>246</v>
      </c>
      <c r="D300" s="35">
        <v>13792140415</v>
      </c>
      <c r="E300" s="35" t="s">
        <v>159</v>
      </c>
      <c r="F300" s="35" t="s">
        <v>189</v>
      </c>
      <c r="G300" s="35" t="s">
        <v>210</v>
      </c>
      <c r="H300" s="35" t="s">
        <v>162</v>
      </c>
      <c r="I300" s="35"/>
      <c r="J300" s="56">
        <v>46129.8125</v>
      </c>
      <c r="K300" s="35" t="s">
        <v>467</v>
      </c>
      <c r="L300" s="35" t="s">
        <v>843</v>
      </c>
      <c r="M300" s="35" t="s">
        <v>162</v>
      </c>
      <c r="N300" s="35" t="s">
        <v>468</v>
      </c>
      <c r="O300" s="35">
        <v>379.05</v>
      </c>
      <c r="P300" s="121" t="s">
        <v>844</v>
      </c>
      <c r="Q300" s="35" t="s">
        <v>845</v>
      </c>
      <c r="R300" s="35" t="s">
        <v>846</v>
      </c>
      <c r="S300" s="35"/>
      <c r="T300" s="35"/>
      <c r="U300" s="35"/>
      <c r="V300" s="35"/>
    </row>
    <row r="301" spans="1:22">
      <c r="A301" s="35">
        <v>298</v>
      </c>
      <c r="B301" s="36">
        <v>46129</v>
      </c>
      <c r="C301" s="35" t="s">
        <v>847</v>
      </c>
      <c r="D301" s="35">
        <v>15967842817</v>
      </c>
      <c r="E301" s="35" t="s">
        <v>831</v>
      </c>
      <c r="F301" s="35" t="s">
        <v>189</v>
      </c>
      <c r="G301" s="35" t="s">
        <v>719</v>
      </c>
      <c r="H301" s="35" t="s">
        <v>162</v>
      </c>
      <c r="I301" s="35"/>
      <c r="J301" s="56">
        <v>46129.8020833333</v>
      </c>
      <c r="K301" s="35" t="s">
        <v>848</v>
      </c>
      <c r="L301" s="35" t="s">
        <v>719</v>
      </c>
      <c r="M301" s="35" t="s">
        <v>162</v>
      </c>
      <c r="N301" s="35" t="s">
        <v>387</v>
      </c>
      <c r="O301" s="35">
        <v>79</v>
      </c>
      <c r="P301" s="121" t="s">
        <v>849</v>
      </c>
      <c r="Q301" s="35" t="s">
        <v>850</v>
      </c>
      <c r="R301" s="35">
        <v>4660</v>
      </c>
      <c r="S301" s="35"/>
      <c r="T301" s="35"/>
      <c r="U301" s="35"/>
      <c r="V301" s="35"/>
    </row>
    <row r="302" spans="1:22">
      <c r="A302" s="35">
        <v>299</v>
      </c>
      <c r="B302" s="36">
        <v>46129</v>
      </c>
      <c r="C302" s="35" t="s">
        <v>851</v>
      </c>
      <c r="D302" s="35">
        <v>13586940234</v>
      </c>
      <c r="E302" s="35" t="s">
        <v>315</v>
      </c>
      <c r="F302" s="35" t="s">
        <v>189</v>
      </c>
      <c r="G302" s="35" t="s">
        <v>719</v>
      </c>
      <c r="H302" s="35" t="s">
        <v>162</v>
      </c>
      <c r="I302" s="35"/>
      <c r="J302" s="56">
        <v>46132.75</v>
      </c>
      <c r="K302" s="35" t="s">
        <v>196</v>
      </c>
      <c r="L302" s="35" t="s">
        <v>719</v>
      </c>
      <c r="M302" s="35" t="s">
        <v>162</v>
      </c>
      <c r="N302" s="35" t="s">
        <v>662</v>
      </c>
      <c r="O302" s="35">
        <v>113</v>
      </c>
      <c r="P302" s="121" t="s">
        <v>852</v>
      </c>
      <c r="Q302" s="35" t="s">
        <v>283</v>
      </c>
      <c r="R302" s="35">
        <v>1946</v>
      </c>
      <c r="S302" s="35"/>
      <c r="T302" s="35"/>
      <c r="U302" s="35"/>
      <c r="V302" s="35"/>
    </row>
    <row r="303" spans="1:22">
      <c r="A303" s="35">
        <v>300</v>
      </c>
      <c r="B303" s="36">
        <v>46130</v>
      </c>
      <c r="C303" s="35" t="s">
        <v>767</v>
      </c>
      <c r="D303" s="35">
        <v>13736020868</v>
      </c>
      <c r="E303" s="35" t="s">
        <v>697</v>
      </c>
      <c r="F303" s="35" t="s">
        <v>278</v>
      </c>
      <c r="G303" s="35" t="s">
        <v>210</v>
      </c>
      <c r="H303" s="35" t="s">
        <v>200</v>
      </c>
      <c r="I303" s="35" t="s">
        <v>366</v>
      </c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</row>
    <row r="304" spans="1:22">
      <c r="A304" s="35">
        <v>301</v>
      </c>
      <c r="B304" s="36">
        <v>46131</v>
      </c>
      <c r="C304" s="35" t="s">
        <v>853</v>
      </c>
      <c r="D304" s="35">
        <v>15168678990</v>
      </c>
      <c r="E304" s="35" t="s">
        <v>296</v>
      </c>
      <c r="F304" s="35" t="s">
        <v>189</v>
      </c>
      <c r="G304" s="35"/>
      <c r="H304" s="35" t="s">
        <v>200</v>
      </c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</row>
    <row r="305" spans="1:22">
      <c r="A305" s="35">
        <v>302</v>
      </c>
      <c r="B305" s="36">
        <v>46132</v>
      </c>
      <c r="C305" s="35" t="s">
        <v>854</v>
      </c>
      <c r="D305" s="35">
        <v>13685856302</v>
      </c>
      <c r="E305" s="35" t="s">
        <v>315</v>
      </c>
      <c r="F305" s="35" t="s">
        <v>189</v>
      </c>
      <c r="G305" s="35" t="s">
        <v>210</v>
      </c>
      <c r="H305" s="35" t="s">
        <v>162</v>
      </c>
      <c r="I305" s="35"/>
      <c r="J305" s="56">
        <v>46132.75</v>
      </c>
      <c r="K305" s="35" t="s">
        <v>196</v>
      </c>
      <c r="L305" s="35" t="s">
        <v>719</v>
      </c>
      <c r="M305" s="35"/>
      <c r="N305" s="35" t="s">
        <v>226</v>
      </c>
      <c r="O305" s="35">
        <v>60.8</v>
      </c>
      <c r="P305" s="121" t="s">
        <v>855</v>
      </c>
      <c r="Q305" s="35" t="s">
        <v>856</v>
      </c>
      <c r="R305" s="35"/>
      <c r="S305" s="35"/>
      <c r="T305" s="35"/>
      <c r="U305" s="35"/>
      <c r="V305" s="35"/>
    </row>
    <row r="306" spans="1:22">
      <c r="A306" s="35">
        <v>303</v>
      </c>
      <c r="B306" s="36">
        <v>46132</v>
      </c>
      <c r="C306" s="35" t="s">
        <v>857</v>
      </c>
      <c r="D306" s="35">
        <v>17704027453</v>
      </c>
      <c r="E306" s="35" t="s">
        <v>315</v>
      </c>
      <c r="F306" s="35" t="s">
        <v>189</v>
      </c>
      <c r="G306" s="35" t="s">
        <v>719</v>
      </c>
      <c r="H306" s="35" t="s">
        <v>162</v>
      </c>
      <c r="I306" s="35"/>
      <c r="J306" s="56">
        <v>46135.4375</v>
      </c>
      <c r="K306" s="35" t="s">
        <v>196</v>
      </c>
      <c r="L306" s="35" t="s">
        <v>719</v>
      </c>
      <c r="M306" s="35"/>
      <c r="N306" s="35" t="s">
        <v>662</v>
      </c>
      <c r="O306" s="35">
        <v>113</v>
      </c>
      <c r="P306" s="121" t="s">
        <v>858</v>
      </c>
      <c r="Q306" s="35"/>
      <c r="R306" s="35"/>
      <c r="S306" s="35"/>
      <c r="T306" s="35"/>
      <c r="U306" s="35"/>
      <c r="V306" s="35"/>
    </row>
    <row r="307" spans="1:22">
      <c r="A307" s="35">
        <v>304</v>
      </c>
      <c r="B307" s="36">
        <v>46133</v>
      </c>
      <c r="C307" s="35" t="s">
        <v>859</v>
      </c>
      <c r="D307" s="35">
        <v>15658763969</v>
      </c>
      <c r="E307" s="35" t="s">
        <v>860</v>
      </c>
      <c r="F307" s="35" t="s">
        <v>189</v>
      </c>
      <c r="G307" s="35"/>
      <c r="H307" s="35" t="s">
        <v>200</v>
      </c>
      <c r="I307" s="35" t="s">
        <v>861</v>
      </c>
      <c r="J307" s="56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</row>
    <row r="308" spans="1:22">
      <c r="A308" s="35">
        <v>305</v>
      </c>
      <c r="B308" s="36">
        <v>46134</v>
      </c>
      <c r="C308" s="35" t="s">
        <v>862</v>
      </c>
      <c r="D308" s="35">
        <v>18858025554</v>
      </c>
      <c r="E308" s="35" t="s">
        <v>584</v>
      </c>
      <c r="F308" s="35" t="s">
        <v>169</v>
      </c>
      <c r="G308" s="35" t="s">
        <v>210</v>
      </c>
      <c r="H308" s="35" t="s">
        <v>162</v>
      </c>
      <c r="I308" s="35"/>
      <c r="J308" s="56">
        <v>46134.7569444444</v>
      </c>
      <c r="K308" s="35" t="s">
        <v>863</v>
      </c>
      <c r="L308" s="35" t="s">
        <v>719</v>
      </c>
      <c r="M308" s="35"/>
      <c r="N308" s="35" t="s">
        <v>312</v>
      </c>
      <c r="O308" s="35">
        <v>22.3</v>
      </c>
      <c r="P308" s="121" t="s">
        <v>864</v>
      </c>
      <c r="Q308" s="35"/>
      <c r="R308" s="35"/>
      <c r="S308" s="35"/>
      <c r="T308" s="35"/>
      <c r="U308" s="35"/>
      <c r="V308" s="35"/>
    </row>
    <row r="309" spans="1:22">
      <c r="A309" s="35">
        <v>306</v>
      </c>
      <c r="B309" s="36">
        <v>46137</v>
      </c>
      <c r="C309" s="35" t="s">
        <v>317</v>
      </c>
      <c r="D309" s="51">
        <v>18768158283</v>
      </c>
      <c r="E309" s="51" t="s">
        <v>865</v>
      </c>
      <c r="F309" s="51" t="s">
        <v>189</v>
      </c>
      <c r="G309" s="35" t="s">
        <v>210</v>
      </c>
      <c r="H309" s="35" t="s">
        <v>162</v>
      </c>
      <c r="I309" s="35"/>
      <c r="J309" s="56">
        <v>46140.625</v>
      </c>
      <c r="K309" s="35" t="s">
        <v>866</v>
      </c>
      <c r="L309" s="35" t="s">
        <v>170</v>
      </c>
      <c r="M309" s="35"/>
      <c r="N309" s="51" t="s">
        <v>405</v>
      </c>
      <c r="O309" s="51">
        <v>368</v>
      </c>
      <c r="P309" s="123" t="s">
        <v>867</v>
      </c>
      <c r="Q309" s="35"/>
      <c r="R309" s="35"/>
      <c r="S309" s="35"/>
      <c r="T309" s="35"/>
      <c r="U309" s="35"/>
      <c r="V309" s="35"/>
    </row>
    <row r="310" spans="1:22">
      <c r="A310" s="35">
        <v>307</v>
      </c>
      <c r="B310" s="36">
        <v>46137</v>
      </c>
      <c r="C310" s="35" t="s">
        <v>319</v>
      </c>
      <c r="D310" s="52"/>
      <c r="E310" s="52"/>
      <c r="F310" s="52"/>
      <c r="G310" s="35" t="s">
        <v>210</v>
      </c>
      <c r="H310" s="35" t="s">
        <v>162</v>
      </c>
      <c r="I310" s="35"/>
      <c r="J310" s="56">
        <v>46140.625</v>
      </c>
      <c r="K310" s="35" t="s">
        <v>866</v>
      </c>
      <c r="L310" s="35" t="s">
        <v>170</v>
      </c>
      <c r="M310" s="35"/>
      <c r="N310" s="52"/>
      <c r="O310" s="52"/>
      <c r="P310" s="52"/>
      <c r="Q310" s="35"/>
      <c r="R310" s="35"/>
      <c r="S310" s="35"/>
      <c r="T310" s="35"/>
      <c r="U310" s="35"/>
      <c r="V310" s="35"/>
    </row>
    <row r="311" spans="1:22">
      <c r="A311" s="35">
        <v>308</v>
      </c>
      <c r="B311" s="36">
        <v>46138</v>
      </c>
      <c r="C311" s="35" t="s">
        <v>868</v>
      </c>
      <c r="D311" s="35">
        <v>18656881497</v>
      </c>
      <c r="E311" s="35" t="s">
        <v>695</v>
      </c>
      <c r="F311" s="35" t="s">
        <v>189</v>
      </c>
      <c r="G311" s="35" t="s">
        <v>719</v>
      </c>
      <c r="H311" s="35" t="s">
        <v>162</v>
      </c>
      <c r="I311" s="35"/>
      <c r="J311" s="56">
        <v>46138.6875</v>
      </c>
      <c r="K311" s="35" t="s">
        <v>171</v>
      </c>
      <c r="L311" s="35" t="s">
        <v>869</v>
      </c>
      <c r="M311" s="35"/>
      <c r="N311" s="35" t="s">
        <v>387</v>
      </c>
      <c r="O311" s="35">
        <v>79</v>
      </c>
      <c r="P311" s="121" t="s">
        <v>870</v>
      </c>
      <c r="Q311" s="35"/>
      <c r="R311" s="35"/>
      <c r="S311" s="35"/>
      <c r="T311" s="35"/>
      <c r="U311" s="35"/>
      <c r="V311" s="35"/>
    </row>
    <row r="312" spans="1:22">
      <c r="A312" s="35">
        <v>309</v>
      </c>
      <c r="B312" s="36">
        <v>46138</v>
      </c>
      <c r="C312" s="35" t="s">
        <v>175</v>
      </c>
      <c r="D312" s="35">
        <v>13957899389</v>
      </c>
      <c r="E312" s="35" t="s">
        <v>871</v>
      </c>
      <c r="F312" s="35" t="s">
        <v>189</v>
      </c>
      <c r="G312" s="35" t="s">
        <v>719</v>
      </c>
      <c r="H312" s="35" t="s">
        <v>162</v>
      </c>
      <c r="I312" s="35"/>
      <c r="J312" s="56">
        <v>46138.7708333333</v>
      </c>
      <c r="K312" s="35" t="s">
        <v>370</v>
      </c>
      <c r="L312" s="35" t="s">
        <v>869</v>
      </c>
      <c r="M312" s="35"/>
      <c r="N312" s="35" t="s">
        <v>371</v>
      </c>
      <c r="O312" s="35">
        <v>216.6</v>
      </c>
      <c r="P312" s="121" t="s">
        <v>872</v>
      </c>
      <c r="Q312" s="35"/>
      <c r="R312" s="35"/>
      <c r="S312" s="35"/>
      <c r="T312" s="35"/>
      <c r="U312" s="35"/>
      <c r="V312" s="35"/>
    </row>
    <row r="313" spans="1:22">
      <c r="A313" s="35">
        <v>310</v>
      </c>
      <c r="B313" s="36">
        <v>46138</v>
      </c>
      <c r="C313" s="35" t="s">
        <v>873</v>
      </c>
      <c r="D313" s="35">
        <v>13777121492</v>
      </c>
      <c r="E313" s="35" t="s">
        <v>315</v>
      </c>
      <c r="F313" s="35" t="s">
        <v>267</v>
      </c>
      <c r="G313" s="35" t="s">
        <v>719</v>
      </c>
      <c r="H313" s="35" t="s">
        <v>200</v>
      </c>
      <c r="I313" s="35" t="s">
        <v>366</v>
      </c>
      <c r="J313" s="56">
        <v>46141.75</v>
      </c>
      <c r="K313" s="35" t="s">
        <v>196</v>
      </c>
      <c r="L313" s="35" t="s">
        <v>719</v>
      </c>
      <c r="M313" s="35"/>
      <c r="N313" s="35"/>
      <c r="O313" s="35"/>
      <c r="P313" s="35"/>
      <c r="Q313" s="35"/>
      <c r="R313" s="35"/>
      <c r="S313" s="35"/>
      <c r="T313" s="35"/>
      <c r="U313" s="35"/>
      <c r="V313" s="35"/>
    </row>
    <row r="314" spans="1:22">
      <c r="A314" s="35">
        <v>311</v>
      </c>
      <c r="B314" s="36">
        <v>46138</v>
      </c>
      <c r="C314" s="35" t="s">
        <v>317</v>
      </c>
      <c r="D314" s="35">
        <v>13616665014</v>
      </c>
      <c r="E314" s="35" t="s">
        <v>168</v>
      </c>
      <c r="F314" s="35" t="s">
        <v>189</v>
      </c>
      <c r="G314" s="35"/>
      <c r="H314" s="35" t="s">
        <v>200</v>
      </c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</row>
    <row r="315" spans="1:22">
      <c r="A315" s="35">
        <v>312</v>
      </c>
      <c r="B315" s="36">
        <v>46138</v>
      </c>
      <c r="C315" s="35" t="s">
        <v>874</v>
      </c>
      <c r="D315" s="35">
        <v>15657473259</v>
      </c>
      <c r="E315" s="35" t="s">
        <v>584</v>
      </c>
      <c r="F315" s="35" t="s">
        <v>169</v>
      </c>
      <c r="G315" s="35"/>
      <c r="H315" s="35" t="s">
        <v>200</v>
      </c>
      <c r="I315" s="35" t="s">
        <v>875</v>
      </c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</row>
    <row r="316" spans="1:22">
      <c r="A316" s="35">
        <v>313</v>
      </c>
      <c r="B316" s="36">
        <v>46138</v>
      </c>
      <c r="C316" s="35" t="s">
        <v>876</v>
      </c>
      <c r="D316" s="35">
        <v>15990546165</v>
      </c>
      <c r="E316" s="35" t="s">
        <v>191</v>
      </c>
      <c r="F316" s="35" t="s">
        <v>189</v>
      </c>
      <c r="G316" s="35"/>
      <c r="H316" s="35" t="s">
        <v>200</v>
      </c>
      <c r="I316" s="35" t="s">
        <v>722</v>
      </c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</row>
    <row r="317" spans="1:22">
      <c r="A317" s="35">
        <v>314</v>
      </c>
      <c r="B317" s="36">
        <v>46139</v>
      </c>
      <c r="C317" s="35" t="s">
        <v>877</v>
      </c>
      <c r="D317" s="35"/>
      <c r="E317" s="35" t="s">
        <v>790</v>
      </c>
      <c r="F317" s="35" t="s">
        <v>189</v>
      </c>
      <c r="G317" s="35"/>
      <c r="H317" s="35" t="s">
        <v>200</v>
      </c>
      <c r="I317" s="35" t="s">
        <v>722</v>
      </c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</row>
    <row r="318" spans="1:22">
      <c r="A318" s="35">
        <v>315</v>
      </c>
      <c r="B318" s="36">
        <v>46139</v>
      </c>
      <c r="C318" s="35" t="s">
        <v>878</v>
      </c>
      <c r="D318" s="35">
        <v>13456105521</v>
      </c>
      <c r="E318" s="35" t="s">
        <v>315</v>
      </c>
      <c r="F318" s="35" t="s">
        <v>267</v>
      </c>
      <c r="G318" s="35"/>
      <c r="H318" s="35" t="s">
        <v>200</v>
      </c>
      <c r="I318" s="35" t="s">
        <v>879</v>
      </c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</row>
    <row r="319" spans="1:22">
      <c r="A319" s="35">
        <v>316</v>
      </c>
      <c r="B319" s="36">
        <v>46140</v>
      </c>
      <c r="C319" s="35" t="s">
        <v>880</v>
      </c>
      <c r="D319" s="35">
        <v>13262339896</v>
      </c>
      <c r="E319" s="35" t="s">
        <v>657</v>
      </c>
      <c r="F319" s="35" t="s">
        <v>396</v>
      </c>
      <c r="G319" s="35" t="s">
        <v>177</v>
      </c>
      <c r="H319" s="35" t="s">
        <v>162</v>
      </c>
      <c r="I319" s="35"/>
      <c r="J319" s="56">
        <v>46141.7083333333</v>
      </c>
      <c r="K319" s="35" t="s">
        <v>657</v>
      </c>
      <c r="L319" s="35" t="s">
        <v>170</v>
      </c>
      <c r="M319" s="35"/>
      <c r="N319" s="35" t="s">
        <v>429</v>
      </c>
      <c r="O319" s="35">
        <v>379.05</v>
      </c>
      <c r="P319" s="121" t="s">
        <v>881</v>
      </c>
      <c r="Q319" s="35"/>
      <c r="R319" s="35"/>
      <c r="S319" s="35"/>
      <c r="T319" s="35"/>
      <c r="U319" s="35"/>
      <c r="V319" s="35"/>
    </row>
    <row r="320" s="20" customFormat="1" spans="1:22">
      <c r="A320" s="53">
        <v>317</v>
      </c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</row>
    <row r="321" spans="1:22">
      <c r="A321" s="35">
        <v>318</v>
      </c>
      <c r="B321" s="36">
        <v>46143</v>
      </c>
      <c r="C321" s="35" t="s">
        <v>882</v>
      </c>
      <c r="D321" s="35">
        <v>18868965168</v>
      </c>
      <c r="E321" s="35" t="s">
        <v>883</v>
      </c>
      <c r="F321" s="35" t="s">
        <v>189</v>
      </c>
      <c r="G321" s="35"/>
      <c r="H321" s="35" t="s">
        <v>200</v>
      </c>
      <c r="I321" s="35" t="s">
        <v>884</v>
      </c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</row>
    <row r="322" spans="1:22">
      <c r="A322" s="35">
        <v>319</v>
      </c>
      <c r="B322" s="36">
        <v>46143</v>
      </c>
      <c r="C322" s="35" t="s">
        <v>885</v>
      </c>
      <c r="D322" s="35"/>
      <c r="E322" s="35" t="s">
        <v>725</v>
      </c>
      <c r="F322" s="35" t="s">
        <v>189</v>
      </c>
      <c r="G322" s="35"/>
      <c r="H322" s="35" t="s">
        <v>200</v>
      </c>
      <c r="I322" s="35" t="s">
        <v>886</v>
      </c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</row>
    <row r="323" spans="1:22">
      <c r="A323" s="35">
        <v>320</v>
      </c>
      <c r="B323" s="36">
        <v>46143</v>
      </c>
      <c r="C323" s="35" t="s">
        <v>887</v>
      </c>
      <c r="D323" s="35">
        <v>15869211709</v>
      </c>
      <c r="E323" s="35" t="s">
        <v>860</v>
      </c>
      <c r="F323" s="35" t="s">
        <v>189</v>
      </c>
      <c r="G323" s="35"/>
      <c r="H323" s="35" t="s">
        <v>200</v>
      </c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</row>
    <row r="324" spans="1:22">
      <c r="A324" s="35">
        <v>321</v>
      </c>
      <c r="B324" s="36">
        <v>46143</v>
      </c>
      <c r="C324" s="35" t="s">
        <v>458</v>
      </c>
      <c r="D324" s="35">
        <v>13486662468</v>
      </c>
      <c r="E324" s="35" t="s">
        <v>888</v>
      </c>
      <c r="F324" s="35" t="s">
        <v>189</v>
      </c>
      <c r="G324" s="35" t="s">
        <v>170</v>
      </c>
      <c r="H324" s="35" t="s">
        <v>162</v>
      </c>
      <c r="I324" s="35" t="s">
        <v>513</v>
      </c>
      <c r="J324" s="56">
        <v>46143.6875</v>
      </c>
      <c r="K324" s="35" t="s">
        <v>171</v>
      </c>
      <c r="L324" s="35" t="s">
        <v>869</v>
      </c>
      <c r="M324" s="35"/>
      <c r="N324" s="35" t="s">
        <v>387</v>
      </c>
      <c r="O324" s="35">
        <v>75</v>
      </c>
      <c r="P324" s="121" t="s">
        <v>889</v>
      </c>
      <c r="Q324" s="35"/>
      <c r="R324" s="35"/>
      <c r="S324" s="35"/>
      <c r="T324" s="35"/>
      <c r="U324" s="35"/>
      <c r="V324" s="35"/>
    </row>
    <row r="325" spans="1:22">
      <c r="A325" s="35">
        <v>322</v>
      </c>
      <c r="B325" s="36">
        <v>46143</v>
      </c>
      <c r="C325" s="35" t="s">
        <v>208</v>
      </c>
      <c r="D325" s="35">
        <v>17671378272</v>
      </c>
      <c r="E325" s="35" t="s">
        <v>890</v>
      </c>
      <c r="F325" s="35" t="s">
        <v>189</v>
      </c>
      <c r="G325" s="35" t="s">
        <v>190</v>
      </c>
      <c r="H325" s="35" t="s">
        <v>162</v>
      </c>
      <c r="I325" s="35"/>
      <c r="J325" s="56">
        <v>46143.75</v>
      </c>
      <c r="K325" s="35" t="s">
        <v>891</v>
      </c>
      <c r="L325" s="35" t="s">
        <v>869</v>
      </c>
      <c r="M325" s="35"/>
      <c r="N325" s="35" t="s">
        <v>622</v>
      </c>
      <c r="O325" s="35">
        <v>30.4</v>
      </c>
      <c r="P325" s="121" t="s">
        <v>892</v>
      </c>
      <c r="Q325" s="35"/>
      <c r="R325" s="35"/>
      <c r="S325" s="35"/>
      <c r="T325" s="35"/>
      <c r="U325" s="35"/>
      <c r="V325" s="35"/>
    </row>
    <row r="326" spans="1:22">
      <c r="A326" s="35">
        <v>323</v>
      </c>
      <c r="B326" s="36">
        <v>46146</v>
      </c>
      <c r="C326" s="35" t="s">
        <v>893</v>
      </c>
      <c r="D326" s="35">
        <v>15607429923</v>
      </c>
      <c r="E326" s="35" t="s">
        <v>894</v>
      </c>
      <c r="F326" s="35" t="s">
        <v>189</v>
      </c>
      <c r="G326" s="35" t="s">
        <v>719</v>
      </c>
      <c r="H326" s="35" t="s">
        <v>200</v>
      </c>
      <c r="I326" s="35" t="s">
        <v>895</v>
      </c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</row>
    <row r="327" spans="1:22">
      <c r="A327" s="35">
        <v>324</v>
      </c>
      <c r="B327" s="36">
        <v>46146</v>
      </c>
      <c r="C327" s="35" t="s">
        <v>896</v>
      </c>
      <c r="D327" s="35">
        <v>17505742878</v>
      </c>
      <c r="E327" s="35" t="s">
        <v>315</v>
      </c>
      <c r="F327" s="35" t="s">
        <v>267</v>
      </c>
      <c r="G327" s="35"/>
      <c r="H327" s="35" t="s">
        <v>200</v>
      </c>
      <c r="I327" s="35" t="s">
        <v>897</v>
      </c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</row>
    <row r="328" spans="1:22">
      <c r="A328" s="35">
        <v>325</v>
      </c>
      <c r="B328" s="36">
        <v>46147</v>
      </c>
      <c r="C328" s="35" t="s">
        <v>317</v>
      </c>
      <c r="D328" s="35">
        <v>18801771358</v>
      </c>
      <c r="E328" s="35" t="s">
        <v>657</v>
      </c>
      <c r="F328" s="35" t="s">
        <v>189</v>
      </c>
      <c r="G328" s="35"/>
      <c r="H328" s="35" t="s">
        <v>200</v>
      </c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</row>
    <row r="329" spans="1:22">
      <c r="A329" s="35">
        <v>326</v>
      </c>
      <c r="B329" s="36">
        <v>46147</v>
      </c>
      <c r="C329" s="35" t="s">
        <v>898</v>
      </c>
      <c r="D329" s="35"/>
      <c r="E329" s="35" t="s">
        <v>899</v>
      </c>
      <c r="F329" s="35" t="s">
        <v>189</v>
      </c>
      <c r="G329" s="35"/>
      <c r="H329" s="35" t="s">
        <v>200</v>
      </c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</row>
    <row r="330" ht="47.25" spans="1:22">
      <c r="A330" s="35">
        <v>327</v>
      </c>
      <c r="B330" s="36">
        <v>46148</v>
      </c>
      <c r="C330" s="35" t="s">
        <v>900</v>
      </c>
      <c r="D330" s="35">
        <v>18775459648</v>
      </c>
      <c r="E330" s="35" t="s">
        <v>754</v>
      </c>
      <c r="F330" s="35" t="s">
        <v>189</v>
      </c>
      <c r="G330" s="35" t="s">
        <v>869</v>
      </c>
      <c r="H330" s="35" t="s">
        <v>162</v>
      </c>
      <c r="I330" s="35"/>
      <c r="J330" s="56">
        <v>46149.7291666667</v>
      </c>
      <c r="K330" s="35" t="s">
        <v>171</v>
      </c>
      <c r="L330" s="35" t="s">
        <v>869</v>
      </c>
      <c r="M330" s="35"/>
      <c r="N330" s="35" t="s">
        <v>743</v>
      </c>
      <c r="O330" s="35">
        <v>192.99</v>
      </c>
      <c r="P330" s="38" t="s">
        <v>901</v>
      </c>
      <c r="Q330" s="35"/>
      <c r="R330" s="35"/>
      <c r="S330" s="35"/>
      <c r="T330" s="35"/>
      <c r="U330" s="35"/>
      <c r="V330" s="35"/>
    </row>
    <row r="331" spans="1:22">
      <c r="A331" s="35">
        <v>328</v>
      </c>
      <c r="B331" s="36">
        <v>46149</v>
      </c>
      <c r="C331" s="35" t="s">
        <v>902</v>
      </c>
      <c r="D331" s="35"/>
      <c r="E331" s="35" t="s">
        <v>903</v>
      </c>
      <c r="F331" s="35" t="s">
        <v>904</v>
      </c>
      <c r="G331" s="35" t="s">
        <v>177</v>
      </c>
      <c r="H331" s="35" t="s">
        <v>162</v>
      </c>
      <c r="I331" s="35" t="s">
        <v>905</v>
      </c>
      <c r="J331" s="56">
        <v>46150.7291666667</v>
      </c>
      <c r="K331" s="35" t="s">
        <v>196</v>
      </c>
      <c r="L331" s="35" t="s">
        <v>719</v>
      </c>
      <c r="M331" s="35"/>
      <c r="N331" s="35"/>
      <c r="O331" s="35"/>
      <c r="P331" s="38"/>
      <c r="Q331" s="35"/>
      <c r="R331" s="35"/>
      <c r="S331" s="35"/>
      <c r="T331" s="35"/>
      <c r="U331" s="35"/>
      <c r="V331" s="35"/>
    </row>
    <row r="332" spans="1:22">
      <c r="A332" s="35">
        <v>329</v>
      </c>
      <c r="B332" s="36">
        <v>46150</v>
      </c>
      <c r="C332" s="35" t="s">
        <v>407</v>
      </c>
      <c r="D332" s="35">
        <v>18268675025</v>
      </c>
      <c r="E332" s="35" t="s">
        <v>315</v>
      </c>
      <c r="F332" s="35" t="s">
        <v>396</v>
      </c>
      <c r="G332" s="35" t="s">
        <v>177</v>
      </c>
      <c r="H332" s="35" t="s">
        <v>162</v>
      </c>
      <c r="I332" s="35"/>
      <c r="J332" s="56">
        <v>46150.7291666667</v>
      </c>
      <c r="K332" s="35" t="s">
        <v>196</v>
      </c>
      <c r="L332" s="35" t="s">
        <v>719</v>
      </c>
      <c r="M332" s="35" t="s">
        <v>162</v>
      </c>
      <c r="N332" s="35" t="s">
        <v>662</v>
      </c>
      <c r="O332" s="35">
        <v>113</v>
      </c>
      <c r="P332" s="121" t="s">
        <v>906</v>
      </c>
      <c r="Q332" s="35" t="s">
        <v>283</v>
      </c>
      <c r="R332" s="35">
        <v>1946</v>
      </c>
      <c r="S332" s="35"/>
      <c r="T332" s="35"/>
      <c r="U332" s="35"/>
      <c r="V332" s="35"/>
    </row>
    <row r="333" spans="1:22">
      <c r="A333" s="35">
        <v>330</v>
      </c>
      <c r="B333" s="36">
        <v>46151</v>
      </c>
      <c r="C333" s="35" t="s">
        <v>907</v>
      </c>
      <c r="D333" s="35">
        <v>13175992277</v>
      </c>
      <c r="E333" s="35" t="s">
        <v>315</v>
      </c>
      <c r="F333" s="35" t="s">
        <v>588</v>
      </c>
      <c r="G333" s="35" t="s">
        <v>190</v>
      </c>
      <c r="H333" s="35" t="s">
        <v>162</v>
      </c>
      <c r="I333" s="35"/>
      <c r="J333" s="56">
        <v>46152.4583333333</v>
      </c>
      <c r="K333" s="35" t="s">
        <v>428</v>
      </c>
      <c r="L333" s="35" t="s">
        <v>190</v>
      </c>
      <c r="M333" s="35"/>
      <c r="N333" s="35" t="s">
        <v>468</v>
      </c>
      <c r="O333" s="35">
        <v>387</v>
      </c>
      <c r="P333" s="121" t="s">
        <v>908</v>
      </c>
      <c r="Q333" s="35"/>
      <c r="R333" s="35"/>
      <c r="S333" s="35"/>
      <c r="T333" s="35"/>
      <c r="U333" s="35"/>
      <c r="V333" s="35"/>
    </row>
    <row r="334" spans="1:22">
      <c r="A334" s="35">
        <v>331</v>
      </c>
      <c r="B334" s="36">
        <v>46151</v>
      </c>
      <c r="C334" s="35" t="s">
        <v>909</v>
      </c>
      <c r="D334" s="35">
        <v>15988658617</v>
      </c>
      <c r="E334" s="35" t="s">
        <v>910</v>
      </c>
      <c r="F334" s="35" t="s">
        <v>911</v>
      </c>
      <c r="G334" s="35" t="s">
        <v>170</v>
      </c>
      <c r="H334" s="35" t="s">
        <v>200</v>
      </c>
      <c r="I334" s="35" t="s">
        <v>912</v>
      </c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</row>
    <row r="335" spans="1:22">
      <c r="A335" s="35">
        <v>332</v>
      </c>
      <c r="B335" s="36">
        <v>46151</v>
      </c>
      <c r="C335" s="35" t="s">
        <v>913</v>
      </c>
      <c r="D335" s="35">
        <v>19557238702</v>
      </c>
      <c r="E335" s="35" t="s">
        <v>914</v>
      </c>
      <c r="F335" s="35" t="s">
        <v>189</v>
      </c>
      <c r="G335" s="35" t="s">
        <v>719</v>
      </c>
      <c r="H335" s="35" t="s">
        <v>162</v>
      </c>
      <c r="I335" s="35"/>
      <c r="J335" s="56">
        <v>46151.7916666667</v>
      </c>
      <c r="K335" s="35" t="s">
        <v>296</v>
      </c>
      <c r="L335" s="35" t="s">
        <v>164</v>
      </c>
      <c r="M335" s="35"/>
      <c r="N335" s="35" t="s">
        <v>531</v>
      </c>
      <c r="O335" s="35">
        <v>246.05</v>
      </c>
      <c r="P335" s="121" t="s">
        <v>915</v>
      </c>
      <c r="Q335" s="35"/>
      <c r="R335" s="35"/>
      <c r="S335" s="35"/>
      <c r="T335" s="35"/>
      <c r="U335" s="35"/>
      <c r="V335" s="35"/>
    </row>
    <row r="336" ht="47.25" spans="1:22">
      <c r="A336" s="35">
        <v>333</v>
      </c>
      <c r="B336" s="36">
        <v>46151</v>
      </c>
      <c r="C336" s="35" t="s">
        <v>916</v>
      </c>
      <c r="D336" s="35">
        <v>13764912363</v>
      </c>
      <c r="E336" s="35" t="s">
        <v>725</v>
      </c>
      <c r="F336" s="35" t="s">
        <v>189</v>
      </c>
      <c r="G336" s="35" t="s">
        <v>869</v>
      </c>
      <c r="H336" s="35" t="s">
        <v>162</v>
      </c>
      <c r="I336" s="35"/>
      <c r="J336" s="56">
        <v>46152.6875</v>
      </c>
      <c r="K336" s="35" t="s">
        <v>171</v>
      </c>
      <c r="L336" s="35" t="s">
        <v>869</v>
      </c>
      <c r="M336" s="35"/>
      <c r="N336" s="35" t="s">
        <v>743</v>
      </c>
      <c r="O336" s="35">
        <v>189.99</v>
      </c>
      <c r="P336" s="38" t="s">
        <v>917</v>
      </c>
      <c r="Q336" s="35"/>
      <c r="R336" s="35"/>
      <c r="S336" s="35"/>
      <c r="T336" s="35"/>
      <c r="U336" s="35"/>
      <c r="V336" s="35"/>
    </row>
    <row r="337" spans="1:22">
      <c r="A337" s="35">
        <v>334</v>
      </c>
      <c r="B337" s="36">
        <v>46151</v>
      </c>
      <c r="C337" s="35" t="s">
        <v>809</v>
      </c>
      <c r="D337" s="35">
        <v>15939871268</v>
      </c>
      <c r="E337" s="35" t="s">
        <v>725</v>
      </c>
      <c r="F337" s="35" t="s">
        <v>189</v>
      </c>
      <c r="G337" s="35"/>
      <c r="H337" s="35" t="s">
        <v>200</v>
      </c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</row>
    <row r="338" spans="1:22">
      <c r="A338" s="35">
        <v>335</v>
      </c>
      <c r="B338" s="36">
        <v>46151</v>
      </c>
      <c r="C338" s="35" t="s">
        <v>918</v>
      </c>
      <c r="D338" s="35">
        <v>15056048452</v>
      </c>
      <c r="E338" s="35" t="s">
        <v>919</v>
      </c>
      <c r="F338" s="35" t="s">
        <v>189</v>
      </c>
      <c r="G338" s="35"/>
      <c r="H338" s="35" t="s">
        <v>200</v>
      </c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</row>
    <row r="339" spans="1:22">
      <c r="A339" s="35"/>
      <c r="B339" s="36">
        <v>46152</v>
      </c>
      <c r="C339" s="35" t="s">
        <v>882</v>
      </c>
      <c r="D339" s="35">
        <v>18868965168</v>
      </c>
      <c r="E339" s="35" t="s">
        <v>920</v>
      </c>
      <c r="F339" s="35" t="s">
        <v>189</v>
      </c>
      <c r="G339" s="35"/>
      <c r="H339" s="35" t="s">
        <v>200</v>
      </c>
      <c r="I339" s="35" t="s">
        <v>921</v>
      </c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</row>
    <row r="340" ht="47.25" spans="1:22">
      <c r="A340" s="35">
        <v>336</v>
      </c>
      <c r="B340" s="36">
        <v>46154</v>
      </c>
      <c r="C340" s="35" t="s">
        <v>769</v>
      </c>
      <c r="D340" s="35">
        <v>18904454327</v>
      </c>
      <c r="E340" s="35" t="s">
        <v>725</v>
      </c>
      <c r="F340" s="35" t="s">
        <v>189</v>
      </c>
      <c r="G340" s="35" t="s">
        <v>869</v>
      </c>
      <c r="H340" s="35" t="s">
        <v>162</v>
      </c>
      <c r="I340" s="35"/>
      <c r="J340" s="56">
        <v>46154.5</v>
      </c>
      <c r="K340" s="35" t="s">
        <v>171</v>
      </c>
      <c r="L340" s="35" t="s">
        <v>211</v>
      </c>
      <c r="M340" s="35"/>
      <c r="N340" s="35" t="s">
        <v>743</v>
      </c>
      <c r="O340" s="35">
        <v>189.99</v>
      </c>
      <c r="P340" s="38" t="s">
        <v>922</v>
      </c>
      <c r="Q340" s="35"/>
      <c r="R340" s="35"/>
      <c r="S340" s="35"/>
      <c r="T340" s="35"/>
      <c r="U340" s="35"/>
      <c r="V340" s="35"/>
    </row>
    <row r="341" spans="1:22">
      <c r="A341" s="35">
        <v>337</v>
      </c>
      <c r="B341" s="36">
        <v>46154</v>
      </c>
      <c r="C341" s="35" t="s">
        <v>923</v>
      </c>
      <c r="D341" s="35">
        <v>18967848198</v>
      </c>
      <c r="E341" s="35" t="s">
        <v>779</v>
      </c>
      <c r="F341" s="35" t="s">
        <v>189</v>
      </c>
      <c r="G341" s="35" t="s">
        <v>719</v>
      </c>
      <c r="H341" s="35" t="s">
        <v>162</v>
      </c>
      <c r="I341" s="35"/>
      <c r="J341" s="56">
        <v>46158.625</v>
      </c>
      <c r="K341" s="35" t="s">
        <v>924</v>
      </c>
      <c r="L341" s="35" t="s">
        <v>869</v>
      </c>
      <c r="M341" s="35"/>
      <c r="N341" s="35" t="s">
        <v>468</v>
      </c>
      <c r="O341" s="35">
        <v>391</v>
      </c>
      <c r="P341" s="121" t="s">
        <v>925</v>
      </c>
      <c r="Q341" s="35"/>
      <c r="R341" s="35"/>
      <c r="S341" s="35"/>
      <c r="T341" s="35"/>
      <c r="U341" s="35"/>
      <c r="V341" s="35"/>
    </row>
    <row r="342" spans="1:22">
      <c r="A342" s="35">
        <v>338</v>
      </c>
      <c r="B342" s="36">
        <v>46154</v>
      </c>
      <c r="C342" s="35" t="s">
        <v>926</v>
      </c>
      <c r="D342" s="35">
        <v>16652850513</v>
      </c>
      <c r="E342" s="35" t="s">
        <v>315</v>
      </c>
      <c r="F342" s="35" t="s">
        <v>267</v>
      </c>
      <c r="G342" s="35"/>
      <c r="H342" s="35" t="s">
        <v>200</v>
      </c>
      <c r="I342" s="35" t="s">
        <v>722</v>
      </c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</row>
    <row r="343" spans="1:22">
      <c r="A343" s="35">
        <v>339</v>
      </c>
      <c r="B343" s="36">
        <v>46156</v>
      </c>
      <c r="C343" s="35" t="s">
        <v>927</v>
      </c>
      <c r="D343" s="35"/>
      <c r="E343" s="35" t="s">
        <v>315</v>
      </c>
      <c r="F343" s="35" t="s">
        <v>189</v>
      </c>
      <c r="G343" s="35"/>
      <c r="H343" s="35" t="s">
        <v>200</v>
      </c>
      <c r="I343" s="35" t="s">
        <v>582</v>
      </c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</row>
    <row r="344" spans="1:22">
      <c r="A344" s="35">
        <v>340</v>
      </c>
      <c r="B344" s="36">
        <v>46157</v>
      </c>
      <c r="C344" s="35" t="s">
        <v>928</v>
      </c>
      <c r="D344" s="35">
        <v>13586548561</v>
      </c>
      <c r="E344" s="35" t="s">
        <v>315</v>
      </c>
      <c r="F344" s="35" t="s">
        <v>588</v>
      </c>
      <c r="G344" s="35" t="s">
        <v>719</v>
      </c>
      <c r="H344" s="35" t="s">
        <v>162</v>
      </c>
      <c r="I344" s="35"/>
      <c r="J344" s="56">
        <v>46157.6041666667</v>
      </c>
      <c r="K344" s="35" t="s">
        <v>428</v>
      </c>
      <c r="L344" s="35" t="s">
        <v>719</v>
      </c>
      <c r="M344" s="35"/>
      <c r="N344" s="35" t="s">
        <v>468</v>
      </c>
      <c r="O344" s="35">
        <v>399</v>
      </c>
      <c r="P344" s="121" t="s">
        <v>929</v>
      </c>
      <c r="Q344" s="35"/>
      <c r="R344" s="35"/>
      <c r="S344" s="35"/>
      <c r="T344" s="35"/>
      <c r="U344" s="35"/>
      <c r="V344" s="35"/>
    </row>
    <row r="345" spans="1:22">
      <c r="A345" s="35">
        <v>341</v>
      </c>
      <c r="B345" s="36">
        <v>46157</v>
      </c>
      <c r="C345" s="35" t="s">
        <v>930</v>
      </c>
      <c r="D345" s="35">
        <v>15541887117</v>
      </c>
      <c r="E345" s="35" t="s">
        <v>888</v>
      </c>
      <c r="F345" s="35" t="s">
        <v>189</v>
      </c>
      <c r="G345" s="35"/>
      <c r="H345" s="35" t="s">
        <v>200</v>
      </c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</row>
    <row r="346" spans="1:22">
      <c r="A346" s="35">
        <v>342</v>
      </c>
      <c r="B346" s="36">
        <v>46157</v>
      </c>
      <c r="C346" s="35" t="s">
        <v>931</v>
      </c>
      <c r="D346" s="35">
        <v>13732109833</v>
      </c>
      <c r="E346" s="35" t="s">
        <v>750</v>
      </c>
      <c r="F346" s="35" t="s">
        <v>189</v>
      </c>
      <c r="G346" s="35"/>
      <c r="H346" s="35" t="s">
        <v>200</v>
      </c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</row>
    <row r="347" spans="1:22">
      <c r="A347" s="35">
        <v>343</v>
      </c>
      <c r="B347" s="36">
        <v>46159</v>
      </c>
      <c r="C347" s="35" t="s">
        <v>932</v>
      </c>
      <c r="D347" s="35">
        <v>13331369032</v>
      </c>
      <c r="E347" s="35" t="s">
        <v>315</v>
      </c>
      <c r="F347" s="35" t="s">
        <v>189</v>
      </c>
      <c r="G347" s="35"/>
      <c r="H347" s="35" t="s">
        <v>200</v>
      </c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</row>
    <row r="348" spans="1:22">
      <c r="A348" s="35">
        <v>344</v>
      </c>
      <c r="B348" s="36">
        <v>46164</v>
      </c>
      <c r="C348" s="35" t="s">
        <v>933</v>
      </c>
      <c r="D348" s="51">
        <v>13757420222</v>
      </c>
      <c r="E348" s="35" t="s">
        <v>159</v>
      </c>
      <c r="F348" s="35" t="s">
        <v>189</v>
      </c>
      <c r="G348" s="35" t="s">
        <v>177</v>
      </c>
      <c r="H348" s="35" t="s">
        <v>162</v>
      </c>
      <c r="I348" s="35"/>
      <c r="J348" s="56">
        <v>46164.6041666667</v>
      </c>
      <c r="K348" s="35" t="s">
        <v>866</v>
      </c>
      <c r="L348" s="35" t="s">
        <v>684</v>
      </c>
      <c r="M348" s="35"/>
      <c r="N348" s="51" t="s">
        <v>405</v>
      </c>
      <c r="O348" s="51">
        <v>368</v>
      </c>
      <c r="P348" s="123" t="s">
        <v>934</v>
      </c>
      <c r="Q348" s="35" t="s">
        <v>935</v>
      </c>
      <c r="R348" s="35">
        <v>520</v>
      </c>
      <c r="S348" s="35"/>
      <c r="T348" s="35"/>
      <c r="U348" s="35"/>
      <c r="V348" s="35"/>
    </row>
    <row r="349" spans="1:22">
      <c r="A349" s="35">
        <v>345</v>
      </c>
      <c r="B349" s="36">
        <v>46164</v>
      </c>
      <c r="C349" s="35" t="s">
        <v>936</v>
      </c>
      <c r="D349" s="52"/>
      <c r="E349" s="35" t="s">
        <v>159</v>
      </c>
      <c r="F349" s="35" t="s">
        <v>189</v>
      </c>
      <c r="G349" s="35" t="s">
        <v>177</v>
      </c>
      <c r="H349" s="35" t="s">
        <v>162</v>
      </c>
      <c r="I349" s="35"/>
      <c r="J349" s="56">
        <v>46164.6041666667</v>
      </c>
      <c r="K349" s="35" t="s">
        <v>866</v>
      </c>
      <c r="L349" s="35" t="s">
        <v>684</v>
      </c>
      <c r="M349" s="35"/>
      <c r="N349" s="52"/>
      <c r="O349" s="52"/>
      <c r="P349" s="52"/>
      <c r="Q349" s="35" t="s">
        <v>935</v>
      </c>
      <c r="R349" s="35">
        <v>520</v>
      </c>
      <c r="S349" s="35"/>
      <c r="T349" s="35"/>
      <c r="U349" s="35"/>
      <c r="V349" s="35"/>
    </row>
    <row r="350" spans="1:22">
      <c r="A350" s="35">
        <v>346</v>
      </c>
      <c r="B350" s="36">
        <v>46166</v>
      </c>
      <c r="C350" s="35" t="s">
        <v>937</v>
      </c>
      <c r="D350" s="35">
        <v>15551303583</v>
      </c>
      <c r="E350" s="35" t="s">
        <v>860</v>
      </c>
      <c r="F350" s="35" t="s">
        <v>588</v>
      </c>
      <c r="G350" s="35" t="s">
        <v>210</v>
      </c>
      <c r="H350" s="35" t="s">
        <v>200</v>
      </c>
      <c r="I350" s="35" t="s">
        <v>895</v>
      </c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</row>
    <row r="351" spans="1:22">
      <c r="A351" s="35">
        <v>347</v>
      </c>
      <c r="B351" s="36">
        <v>46167</v>
      </c>
      <c r="C351" s="35" t="s">
        <v>938</v>
      </c>
      <c r="D351" s="35">
        <v>15068737489</v>
      </c>
      <c r="E351" s="35" t="s">
        <v>315</v>
      </c>
      <c r="F351" s="35" t="s">
        <v>189</v>
      </c>
      <c r="G351" s="35" t="s">
        <v>939</v>
      </c>
      <c r="H351" s="35" t="s">
        <v>162</v>
      </c>
      <c r="I351" s="35"/>
      <c r="J351" s="56">
        <v>46172.5034722222</v>
      </c>
      <c r="K351" s="35" t="s">
        <v>196</v>
      </c>
      <c r="L351" s="35" t="s">
        <v>719</v>
      </c>
      <c r="M351" s="35" t="s">
        <v>162</v>
      </c>
      <c r="N351" s="35" t="s">
        <v>662</v>
      </c>
      <c r="O351" s="35">
        <v>119</v>
      </c>
      <c r="P351" s="121" t="s">
        <v>940</v>
      </c>
      <c r="Q351" s="35" t="s">
        <v>941</v>
      </c>
      <c r="R351" s="35">
        <v>1790</v>
      </c>
      <c r="S351" s="35"/>
      <c r="T351" s="35"/>
      <c r="U351" s="35"/>
      <c r="V351" s="35"/>
    </row>
    <row r="352" spans="1:22">
      <c r="A352" s="35">
        <v>348</v>
      </c>
      <c r="B352" s="36">
        <v>46167</v>
      </c>
      <c r="C352" s="35" t="s">
        <v>942</v>
      </c>
      <c r="D352" s="35">
        <v>18879199220</v>
      </c>
      <c r="E352" s="35" t="s">
        <v>831</v>
      </c>
      <c r="F352" s="35" t="s">
        <v>189</v>
      </c>
      <c r="G352" s="35" t="s">
        <v>210</v>
      </c>
      <c r="H352" s="35" t="s">
        <v>162</v>
      </c>
      <c r="I352" s="35" t="s">
        <v>943</v>
      </c>
      <c r="J352" s="35"/>
      <c r="K352" s="35"/>
      <c r="L352" s="35"/>
      <c r="M352" s="35"/>
      <c r="N352" s="35"/>
      <c r="O352" s="35"/>
      <c r="P352" s="35"/>
      <c r="Q352" s="35" t="s">
        <v>935</v>
      </c>
      <c r="R352" s="35">
        <v>520</v>
      </c>
      <c r="S352" s="35"/>
      <c r="T352" s="35"/>
      <c r="U352" s="35"/>
      <c r="V352" s="35"/>
    </row>
    <row r="353" spans="1:22">
      <c r="A353" s="35">
        <v>349</v>
      </c>
      <c r="B353" s="36">
        <v>46168</v>
      </c>
      <c r="C353" s="35" t="s">
        <v>944</v>
      </c>
      <c r="D353" s="35">
        <v>13586516903</v>
      </c>
      <c r="E353" s="35" t="s">
        <v>945</v>
      </c>
      <c r="F353" s="35" t="s">
        <v>267</v>
      </c>
      <c r="G353" s="35" t="s">
        <v>719</v>
      </c>
      <c r="H353" s="35" t="s">
        <v>162</v>
      </c>
      <c r="I353" s="35"/>
      <c r="J353" s="56">
        <v>46169.375</v>
      </c>
      <c r="K353" s="35" t="s">
        <v>171</v>
      </c>
      <c r="L353" s="35" t="s">
        <v>172</v>
      </c>
      <c r="M353" s="35" t="s">
        <v>162</v>
      </c>
      <c r="N353" s="35" t="s">
        <v>387</v>
      </c>
      <c r="O353" s="35">
        <v>75</v>
      </c>
      <c r="P353" s="121" t="s">
        <v>946</v>
      </c>
      <c r="Q353" s="35" t="s">
        <v>947</v>
      </c>
      <c r="R353" s="35" t="s">
        <v>948</v>
      </c>
      <c r="S353" s="35"/>
      <c r="T353" s="35"/>
      <c r="U353" s="35"/>
      <c r="V353" s="35"/>
    </row>
    <row r="354" spans="1:22">
      <c r="A354" s="35">
        <v>350</v>
      </c>
      <c r="B354" s="36">
        <v>46169</v>
      </c>
      <c r="C354" s="35" t="s">
        <v>949</v>
      </c>
      <c r="D354" s="35">
        <v>13166263980</v>
      </c>
      <c r="E354" s="35" t="s">
        <v>545</v>
      </c>
      <c r="F354" s="35" t="s">
        <v>189</v>
      </c>
      <c r="G354" s="35"/>
      <c r="H354" s="35" t="s">
        <v>200</v>
      </c>
      <c r="I354" s="35" t="s">
        <v>582</v>
      </c>
      <c r="J354" s="56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</row>
    <row r="355" spans="1:22">
      <c r="A355" s="35">
        <v>351</v>
      </c>
      <c r="B355" s="36">
        <v>46169</v>
      </c>
      <c r="C355" s="35" t="s">
        <v>950</v>
      </c>
      <c r="D355" s="35">
        <v>934970776</v>
      </c>
      <c r="E355" s="35" t="s">
        <v>951</v>
      </c>
      <c r="F355" s="35" t="s">
        <v>267</v>
      </c>
      <c r="G355" s="35"/>
      <c r="H355" s="35" t="s">
        <v>200</v>
      </c>
      <c r="I355" s="35"/>
      <c r="J355" s="56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</row>
    <row r="356" spans="1:22">
      <c r="A356" s="35">
        <v>352</v>
      </c>
      <c r="B356" s="36">
        <v>46170</v>
      </c>
      <c r="C356" s="35" t="s">
        <v>952</v>
      </c>
      <c r="D356" s="35">
        <v>15573155013</v>
      </c>
      <c r="E356" s="35" t="s">
        <v>953</v>
      </c>
      <c r="F356" s="35" t="s">
        <v>189</v>
      </c>
      <c r="G356" s="35" t="s">
        <v>177</v>
      </c>
      <c r="H356" s="35" t="s">
        <v>162</v>
      </c>
      <c r="I356" s="35"/>
      <c r="J356" s="56">
        <v>46171.4375</v>
      </c>
      <c r="K356" s="35" t="s">
        <v>954</v>
      </c>
      <c r="L356" s="35" t="s">
        <v>172</v>
      </c>
      <c r="M356" s="35"/>
      <c r="N356" s="35" t="s">
        <v>285</v>
      </c>
      <c r="O356" s="35">
        <v>93</v>
      </c>
      <c r="P356" s="121" t="s">
        <v>955</v>
      </c>
      <c r="Q356" s="35"/>
      <c r="R356" s="35"/>
      <c r="S356" s="35"/>
      <c r="T356" s="35"/>
      <c r="U356" s="35"/>
      <c r="V356" s="35"/>
    </row>
    <row r="357" spans="1:22">
      <c r="A357" s="35">
        <v>353</v>
      </c>
      <c r="B357" s="36">
        <v>46170</v>
      </c>
      <c r="C357" s="35" t="s">
        <v>956</v>
      </c>
      <c r="D357" s="35">
        <v>18779477457</v>
      </c>
      <c r="E357" s="35" t="s">
        <v>584</v>
      </c>
      <c r="F357" s="35" t="s">
        <v>189</v>
      </c>
      <c r="G357" s="35" t="s">
        <v>177</v>
      </c>
      <c r="H357" s="35" t="s">
        <v>162</v>
      </c>
      <c r="I357" s="35"/>
      <c r="J357" s="56">
        <v>46170.8125</v>
      </c>
      <c r="K357" s="35" t="s">
        <v>309</v>
      </c>
      <c r="L357" s="35" t="s">
        <v>825</v>
      </c>
      <c r="M357" s="35"/>
      <c r="N357" s="35" t="s">
        <v>285</v>
      </c>
      <c r="O357" s="35">
        <v>93</v>
      </c>
      <c r="P357" s="121" t="s">
        <v>957</v>
      </c>
      <c r="Q357" s="35"/>
      <c r="R357" s="35"/>
      <c r="S357" s="35"/>
      <c r="T357" s="35"/>
      <c r="U357" s="35"/>
      <c r="V357" s="35"/>
    </row>
    <row r="358" spans="1:22">
      <c r="A358" s="35">
        <v>354</v>
      </c>
      <c r="B358" s="36">
        <v>46171</v>
      </c>
      <c r="C358" s="80" t="s">
        <v>958</v>
      </c>
      <c r="D358" s="35">
        <v>15773469119</v>
      </c>
      <c r="E358" s="35" t="s">
        <v>959</v>
      </c>
      <c r="F358" s="35" t="s">
        <v>189</v>
      </c>
      <c r="G358" s="35"/>
      <c r="H358" s="35" t="s">
        <v>200</v>
      </c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</row>
    <row r="359" s="18" customFormat="1" spans="1:22">
      <c r="A359" s="41">
        <v>355</v>
      </c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</row>
    <row r="360" ht="47.25" spans="1:22">
      <c r="A360" s="70">
        <v>356</v>
      </c>
      <c r="B360" s="36">
        <v>46174</v>
      </c>
      <c r="C360" s="35" t="s">
        <v>960</v>
      </c>
      <c r="D360" s="35">
        <v>18657407952</v>
      </c>
      <c r="E360" s="35" t="s">
        <v>961</v>
      </c>
      <c r="F360" s="35" t="s">
        <v>189</v>
      </c>
      <c r="G360" s="35" t="s">
        <v>210</v>
      </c>
      <c r="H360" s="35" t="s">
        <v>162</v>
      </c>
      <c r="I360" s="35"/>
      <c r="J360" s="56">
        <v>46182.5</v>
      </c>
      <c r="K360" s="35" t="s">
        <v>962</v>
      </c>
      <c r="L360" s="35" t="s">
        <v>825</v>
      </c>
      <c r="M360" s="35"/>
      <c r="N360" s="35" t="s">
        <v>666</v>
      </c>
      <c r="O360" s="35">
        <v>199.99</v>
      </c>
      <c r="P360" s="122" t="s">
        <v>963</v>
      </c>
      <c r="Q360" s="35"/>
      <c r="R360" s="35"/>
      <c r="S360" s="35"/>
      <c r="T360" s="35"/>
      <c r="U360" s="35"/>
      <c r="V360" s="35"/>
    </row>
    <row r="361" spans="1:22">
      <c r="A361" s="70">
        <v>357</v>
      </c>
      <c r="B361" s="36">
        <v>46176</v>
      </c>
      <c r="C361" s="35" t="s">
        <v>964</v>
      </c>
      <c r="D361" s="35">
        <v>18800295180</v>
      </c>
      <c r="E361" s="35" t="s">
        <v>584</v>
      </c>
      <c r="F361" s="35" t="s">
        <v>189</v>
      </c>
      <c r="G361" s="35" t="s">
        <v>210</v>
      </c>
      <c r="H361" s="35" t="s">
        <v>162</v>
      </c>
      <c r="I361" s="35"/>
      <c r="J361" s="56">
        <v>46177.5034722222</v>
      </c>
      <c r="K361" s="35" t="s">
        <v>965</v>
      </c>
      <c r="L361" s="35" t="s">
        <v>300</v>
      </c>
      <c r="M361" s="35"/>
      <c r="N361" s="35" t="s">
        <v>285</v>
      </c>
      <c r="O361" s="35">
        <v>93</v>
      </c>
      <c r="P361" s="121" t="s">
        <v>966</v>
      </c>
      <c r="Q361" s="35"/>
      <c r="R361" s="35"/>
      <c r="S361" s="35"/>
      <c r="T361" s="35"/>
      <c r="U361" s="35"/>
      <c r="V361" s="35"/>
    </row>
    <row r="362" spans="1:22">
      <c r="A362" s="70">
        <v>358</v>
      </c>
      <c r="B362" s="36">
        <v>46176</v>
      </c>
      <c r="C362" s="35" t="s">
        <v>967</v>
      </c>
      <c r="D362" s="35">
        <v>15958290604</v>
      </c>
      <c r="E362" s="35" t="s">
        <v>725</v>
      </c>
      <c r="F362" s="35" t="s">
        <v>169</v>
      </c>
      <c r="G362" s="35"/>
      <c r="H362" s="35" t="s">
        <v>200</v>
      </c>
      <c r="I362" s="35" t="s">
        <v>722</v>
      </c>
      <c r="J362" s="56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</row>
    <row r="363" spans="1:22">
      <c r="A363" s="70">
        <v>359</v>
      </c>
      <c r="B363" s="36">
        <v>46177</v>
      </c>
      <c r="C363" s="35" t="s">
        <v>968</v>
      </c>
      <c r="D363" s="35">
        <v>18688991128</v>
      </c>
      <c r="E363" s="35" t="s">
        <v>969</v>
      </c>
      <c r="F363" s="35" t="s">
        <v>189</v>
      </c>
      <c r="G363" s="35" t="s">
        <v>177</v>
      </c>
      <c r="H363" s="35" t="s">
        <v>162</v>
      </c>
      <c r="I363" s="35"/>
      <c r="J363" s="56">
        <v>46177.7291666667</v>
      </c>
      <c r="K363" s="35" t="s">
        <v>171</v>
      </c>
      <c r="L363" s="35" t="s">
        <v>211</v>
      </c>
      <c r="M363" s="35"/>
      <c r="N363" s="35" t="s">
        <v>387</v>
      </c>
      <c r="O363" s="35">
        <v>74</v>
      </c>
      <c r="P363" s="121" t="s">
        <v>970</v>
      </c>
      <c r="Q363" s="35"/>
      <c r="R363" s="35"/>
      <c r="S363" s="35"/>
      <c r="T363" s="35"/>
      <c r="U363" s="35"/>
      <c r="V363" s="35"/>
    </row>
    <row r="364" spans="1:22">
      <c r="A364" s="70">
        <v>360</v>
      </c>
      <c r="B364" s="36">
        <v>46178</v>
      </c>
      <c r="C364" s="35" t="s">
        <v>971</v>
      </c>
      <c r="D364" s="35">
        <v>15325803006</v>
      </c>
      <c r="E364" s="35" t="s">
        <v>725</v>
      </c>
      <c r="F364" s="35" t="s">
        <v>189</v>
      </c>
      <c r="G364" s="35" t="s">
        <v>210</v>
      </c>
      <c r="H364" s="35" t="s">
        <v>162</v>
      </c>
      <c r="I364" s="35"/>
      <c r="J364" s="56">
        <v>46179.6875</v>
      </c>
      <c r="K364" s="35" t="s">
        <v>171</v>
      </c>
      <c r="L364" s="35" t="s">
        <v>211</v>
      </c>
      <c r="M364" s="35" t="s">
        <v>162</v>
      </c>
      <c r="N364" s="35" t="s">
        <v>387</v>
      </c>
      <c r="O364" s="35">
        <v>79</v>
      </c>
      <c r="P364" s="121" t="s">
        <v>972</v>
      </c>
      <c r="Q364" s="35" t="s">
        <v>973</v>
      </c>
      <c r="R364" s="35">
        <v>1980</v>
      </c>
      <c r="S364" s="35"/>
      <c r="T364" s="35"/>
      <c r="U364" s="35"/>
      <c r="V364" s="35"/>
    </row>
    <row r="365" spans="1:22">
      <c r="A365" s="70">
        <v>361</v>
      </c>
      <c r="B365" s="36">
        <v>46178</v>
      </c>
      <c r="C365" s="35" t="s">
        <v>974</v>
      </c>
      <c r="D365" s="35">
        <v>18616960027</v>
      </c>
      <c r="E365" s="35" t="s">
        <v>296</v>
      </c>
      <c r="F365" s="35" t="s">
        <v>189</v>
      </c>
      <c r="G365" s="35"/>
      <c r="H365" s="35" t="s">
        <v>200</v>
      </c>
      <c r="I365" s="35" t="s">
        <v>722</v>
      </c>
      <c r="J365" s="56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</row>
    <row r="366" spans="1:22">
      <c r="A366" s="70">
        <v>362</v>
      </c>
      <c r="B366" s="36">
        <v>46179</v>
      </c>
      <c r="C366" s="35" t="s">
        <v>975</v>
      </c>
      <c r="D366" s="35">
        <v>18257438114</v>
      </c>
      <c r="E366" s="35" t="s">
        <v>976</v>
      </c>
      <c r="F366" s="35" t="s">
        <v>189</v>
      </c>
      <c r="G366" s="35"/>
      <c r="H366" s="35" t="s">
        <v>200</v>
      </c>
      <c r="I366" s="35"/>
      <c r="J366" s="56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</row>
    <row r="367" spans="1:22">
      <c r="A367" s="70">
        <v>363</v>
      </c>
      <c r="B367" s="36">
        <v>46179</v>
      </c>
      <c r="C367" s="35" t="s">
        <v>388</v>
      </c>
      <c r="D367" s="35">
        <v>13551618552</v>
      </c>
      <c r="E367" s="35" t="s">
        <v>977</v>
      </c>
      <c r="F367" s="35" t="s">
        <v>189</v>
      </c>
      <c r="G367" s="35" t="s">
        <v>190</v>
      </c>
      <c r="H367" s="35" t="s">
        <v>162</v>
      </c>
      <c r="I367" s="35"/>
      <c r="J367" s="56">
        <v>46179.75</v>
      </c>
      <c r="K367" s="35" t="s">
        <v>978</v>
      </c>
      <c r="L367" s="35" t="s">
        <v>979</v>
      </c>
      <c r="M367" s="35"/>
      <c r="N367" s="35" t="s">
        <v>468</v>
      </c>
      <c r="O367" s="35">
        <v>387</v>
      </c>
      <c r="P367" s="122" t="s">
        <v>980</v>
      </c>
      <c r="Q367" s="35"/>
      <c r="R367" s="35"/>
      <c r="S367" s="35"/>
      <c r="T367" s="35"/>
      <c r="U367" s="35"/>
      <c r="V367" s="35"/>
    </row>
    <row r="368" ht="47.25" spans="1:22">
      <c r="A368" s="70">
        <v>364</v>
      </c>
      <c r="B368" s="36">
        <v>46180</v>
      </c>
      <c r="C368" s="35" t="s">
        <v>981</v>
      </c>
      <c r="D368" s="35">
        <v>13755258387</v>
      </c>
      <c r="E368" s="35" t="s">
        <v>982</v>
      </c>
      <c r="F368" s="35" t="s">
        <v>189</v>
      </c>
      <c r="G368" s="35" t="s">
        <v>177</v>
      </c>
      <c r="H368" s="35" t="s">
        <v>162</v>
      </c>
      <c r="I368" s="35"/>
      <c r="J368" s="56">
        <v>46182.7291666667</v>
      </c>
      <c r="K368" s="35" t="s">
        <v>171</v>
      </c>
      <c r="L368" s="35" t="s">
        <v>211</v>
      </c>
      <c r="M368" s="35"/>
      <c r="N368" s="35" t="s">
        <v>743</v>
      </c>
      <c r="O368" s="35">
        <v>189.99</v>
      </c>
      <c r="P368" s="122" t="s">
        <v>983</v>
      </c>
      <c r="Q368" s="35"/>
      <c r="R368" s="35"/>
      <c r="S368" s="35"/>
      <c r="T368" s="35"/>
      <c r="U368" s="35"/>
      <c r="V368" s="35"/>
    </row>
    <row r="369" spans="1:22">
      <c r="A369" s="70">
        <v>365</v>
      </c>
      <c r="B369" s="36">
        <v>46181</v>
      </c>
      <c r="C369" s="35" t="s">
        <v>984</v>
      </c>
      <c r="D369" s="35">
        <v>18657406866</v>
      </c>
      <c r="E369" s="35" t="s">
        <v>159</v>
      </c>
      <c r="F369" s="35" t="s">
        <v>189</v>
      </c>
      <c r="G369" s="35" t="s">
        <v>210</v>
      </c>
      <c r="H369" s="35" t="s">
        <v>162</v>
      </c>
      <c r="I369" s="35"/>
      <c r="J369" s="56">
        <v>46183.5</v>
      </c>
      <c r="K369" s="35" t="s">
        <v>978</v>
      </c>
      <c r="L369" s="35" t="s">
        <v>210</v>
      </c>
      <c r="M369" s="35" t="s">
        <v>162</v>
      </c>
      <c r="N369" s="35" t="s">
        <v>468</v>
      </c>
      <c r="O369" s="35">
        <v>399</v>
      </c>
      <c r="P369" s="122" t="s">
        <v>985</v>
      </c>
      <c r="Q369" s="35" t="s">
        <v>986</v>
      </c>
      <c r="R369" s="35">
        <v>5999</v>
      </c>
      <c r="S369" s="35" t="s">
        <v>987</v>
      </c>
      <c r="T369" s="35"/>
      <c r="U369" s="35"/>
      <c r="V369" s="35"/>
    </row>
    <row r="370" spans="1:22">
      <c r="A370" s="70">
        <v>366</v>
      </c>
      <c r="B370" s="36">
        <v>46183</v>
      </c>
      <c r="C370" s="35" t="s">
        <v>988</v>
      </c>
      <c r="D370" s="35">
        <v>18000260344</v>
      </c>
      <c r="E370" s="35" t="s">
        <v>919</v>
      </c>
      <c r="F370" s="35" t="s">
        <v>189</v>
      </c>
      <c r="G370" s="35"/>
      <c r="H370" s="35" t="s">
        <v>200</v>
      </c>
      <c r="I370" s="35" t="s">
        <v>722</v>
      </c>
      <c r="J370" s="56"/>
      <c r="K370" s="35"/>
      <c r="L370" s="35"/>
      <c r="M370" s="35"/>
      <c r="N370" s="35"/>
      <c r="O370" s="35"/>
      <c r="P370" s="38"/>
      <c r="Q370" s="35"/>
      <c r="R370" s="35"/>
      <c r="S370" s="35"/>
      <c r="T370" s="35"/>
      <c r="U370" s="35"/>
      <c r="V370" s="35"/>
    </row>
    <row r="371" spans="1:22">
      <c r="A371" s="70">
        <v>367</v>
      </c>
      <c r="B371" s="36">
        <v>46184</v>
      </c>
      <c r="C371" s="35" t="s">
        <v>252</v>
      </c>
      <c r="D371" s="35">
        <v>15728037691</v>
      </c>
      <c r="E371" s="35" t="s">
        <v>989</v>
      </c>
      <c r="F371" s="35" t="s">
        <v>189</v>
      </c>
      <c r="G371" s="35"/>
      <c r="H371" s="35" t="s">
        <v>200</v>
      </c>
      <c r="I371" s="35"/>
      <c r="J371" s="56"/>
      <c r="K371" s="35"/>
      <c r="L371" s="35"/>
      <c r="M371" s="35"/>
      <c r="N371" s="35"/>
      <c r="O371" s="35"/>
      <c r="P371" s="38"/>
      <c r="Q371" s="35"/>
      <c r="R371" s="35"/>
      <c r="S371" s="35"/>
      <c r="T371" s="35"/>
      <c r="U371" s="35"/>
      <c r="V371" s="35"/>
    </row>
    <row r="372" spans="1:22">
      <c r="A372" s="70">
        <v>368</v>
      </c>
      <c r="B372" s="36">
        <v>46185</v>
      </c>
      <c r="C372" s="35" t="s">
        <v>990</v>
      </c>
      <c r="D372" s="35">
        <v>18857475208</v>
      </c>
      <c r="E372" s="35" t="s">
        <v>584</v>
      </c>
      <c r="F372" s="35" t="s">
        <v>189</v>
      </c>
      <c r="G372" s="35" t="s">
        <v>210</v>
      </c>
      <c r="H372" s="35" t="s">
        <v>162</v>
      </c>
      <c r="I372" s="35" t="s">
        <v>991</v>
      </c>
      <c r="J372" s="56">
        <v>46185.7291666667</v>
      </c>
      <c r="K372" s="35" t="s">
        <v>962</v>
      </c>
      <c r="L372" s="35" t="s">
        <v>992</v>
      </c>
      <c r="M372" s="35"/>
      <c r="N372" s="35" t="s">
        <v>335</v>
      </c>
      <c r="O372" s="35">
        <v>35</v>
      </c>
      <c r="P372" s="121" t="s">
        <v>993</v>
      </c>
      <c r="Q372" s="35"/>
      <c r="R372" s="35"/>
      <c r="S372" s="35"/>
      <c r="T372" s="35"/>
      <c r="U372" s="35"/>
      <c r="V372" s="35"/>
    </row>
    <row r="373" spans="1:22">
      <c r="A373" s="70">
        <v>369</v>
      </c>
      <c r="B373" s="36">
        <v>46185</v>
      </c>
      <c r="C373" s="35" t="s">
        <v>994</v>
      </c>
      <c r="D373" s="35">
        <v>13857228161</v>
      </c>
      <c r="E373" s="35" t="s">
        <v>995</v>
      </c>
      <c r="F373" s="35" t="s">
        <v>588</v>
      </c>
      <c r="G373" s="35" t="s">
        <v>210</v>
      </c>
      <c r="H373" s="35" t="s">
        <v>162</v>
      </c>
      <c r="I373" s="35"/>
      <c r="J373" s="56">
        <v>46186.6458333333</v>
      </c>
      <c r="K373" s="35" t="s">
        <v>296</v>
      </c>
      <c r="L373" s="35" t="s">
        <v>211</v>
      </c>
      <c r="M373" s="35" t="s">
        <v>162</v>
      </c>
      <c r="N373" s="35" t="s">
        <v>468</v>
      </c>
      <c r="O373" s="35">
        <v>391</v>
      </c>
      <c r="P373" s="121" t="s">
        <v>996</v>
      </c>
      <c r="Q373" s="35" t="s">
        <v>997</v>
      </c>
      <c r="R373" s="35">
        <v>6999</v>
      </c>
      <c r="S373" s="35"/>
      <c r="T373" s="35"/>
      <c r="U373" s="35"/>
      <c r="V373" s="35"/>
    </row>
    <row r="374" spans="1:22">
      <c r="A374" s="70">
        <v>370</v>
      </c>
      <c r="B374" s="36">
        <v>46186</v>
      </c>
      <c r="C374" s="35" t="s">
        <v>998</v>
      </c>
      <c r="D374" s="35">
        <v>13548747314</v>
      </c>
      <c r="E374" s="35" t="s">
        <v>168</v>
      </c>
      <c r="F374" s="35" t="s">
        <v>999</v>
      </c>
      <c r="G374" s="35" t="s">
        <v>791</v>
      </c>
      <c r="H374" s="35" t="s">
        <v>162</v>
      </c>
      <c r="I374" s="35" t="s">
        <v>1000</v>
      </c>
      <c r="J374" s="56">
        <v>46186.6875</v>
      </c>
      <c r="K374" s="35" t="s">
        <v>1001</v>
      </c>
      <c r="L374" s="35" t="s">
        <v>170</v>
      </c>
      <c r="M374" s="35"/>
      <c r="N374" s="35" t="s">
        <v>226</v>
      </c>
      <c r="O374" s="35">
        <v>52.6</v>
      </c>
      <c r="P374" s="121" t="s">
        <v>1002</v>
      </c>
      <c r="Q374" s="35" t="s">
        <v>1003</v>
      </c>
      <c r="R374" s="35"/>
      <c r="S374" s="35"/>
      <c r="T374" s="35"/>
      <c r="U374" s="35"/>
      <c r="V374" s="35"/>
    </row>
    <row r="375" ht="47.25" spans="1:22">
      <c r="A375" s="70">
        <v>371</v>
      </c>
      <c r="B375" s="36">
        <v>46188</v>
      </c>
      <c r="C375" s="35" t="s">
        <v>1004</v>
      </c>
      <c r="D375" s="35">
        <v>17815959781</v>
      </c>
      <c r="E375" s="35" t="s">
        <v>1005</v>
      </c>
      <c r="F375" s="35" t="s">
        <v>588</v>
      </c>
      <c r="G375" s="35" t="s">
        <v>210</v>
      </c>
      <c r="H375" s="35" t="s">
        <v>162</v>
      </c>
      <c r="I375" s="35"/>
      <c r="J375" s="56">
        <v>46191.375</v>
      </c>
      <c r="K375" s="35" t="s">
        <v>1006</v>
      </c>
      <c r="L375" s="35" t="s">
        <v>719</v>
      </c>
      <c r="M375" s="35"/>
      <c r="N375" s="35" t="s">
        <v>743</v>
      </c>
      <c r="O375" s="35">
        <v>189.99</v>
      </c>
      <c r="P375" s="122" t="s">
        <v>1007</v>
      </c>
      <c r="Q375" s="35"/>
      <c r="R375" s="35"/>
      <c r="S375" s="35"/>
      <c r="T375" s="35"/>
      <c r="U375" s="35"/>
      <c r="V375" s="35"/>
    </row>
    <row r="376" spans="1:22">
      <c r="A376" s="70">
        <v>372</v>
      </c>
      <c r="B376" s="36">
        <v>46189</v>
      </c>
      <c r="C376" s="35" t="s">
        <v>1008</v>
      </c>
      <c r="D376" s="35">
        <v>13586536013</v>
      </c>
      <c r="E376" s="35" t="s">
        <v>315</v>
      </c>
      <c r="F376" s="35" t="s">
        <v>1009</v>
      </c>
      <c r="G376" s="35" t="s">
        <v>210</v>
      </c>
      <c r="H376" s="35" t="s">
        <v>162</v>
      </c>
      <c r="I376" s="35"/>
      <c r="J376" s="56">
        <v>46190.4583333333</v>
      </c>
      <c r="K376" s="35" t="s">
        <v>428</v>
      </c>
      <c r="L376" s="35" t="s">
        <v>190</v>
      </c>
      <c r="M376" s="35"/>
      <c r="N376" s="35" t="s">
        <v>468</v>
      </c>
      <c r="O376" s="35">
        <v>391</v>
      </c>
      <c r="P376" s="122" t="s">
        <v>1010</v>
      </c>
      <c r="Q376" s="35"/>
      <c r="R376" s="35"/>
      <c r="S376" s="35"/>
      <c r="T376" s="35"/>
      <c r="U376" s="35"/>
      <c r="V376" s="35"/>
    </row>
    <row r="377" spans="1:22">
      <c r="A377" s="70">
        <v>373</v>
      </c>
      <c r="B377" s="36">
        <v>46192</v>
      </c>
      <c r="C377" s="35" t="s">
        <v>1011</v>
      </c>
      <c r="D377" s="35">
        <v>13291943166</v>
      </c>
      <c r="E377" s="35" t="s">
        <v>1012</v>
      </c>
      <c r="F377" s="35" t="s">
        <v>1009</v>
      </c>
      <c r="G377" s="35" t="s">
        <v>190</v>
      </c>
      <c r="H377" s="35" t="s">
        <v>162</v>
      </c>
      <c r="I377" s="35"/>
      <c r="J377" s="56">
        <v>46194.4166666667</v>
      </c>
      <c r="K377" s="35" t="s">
        <v>296</v>
      </c>
      <c r="L377" s="35" t="s">
        <v>300</v>
      </c>
      <c r="M377" s="35"/>
      <c r="N377" s="35" t="s">
        <v>468</v>
      </c>
      <c r="O377" s="35">
        <v>387</v>
      </c>
      <c r="P377" s="121" t="s">
        <v>1013</v>
      </c>
      <c r="Q377" s="35"/>
      <c r="R377" s="35"/>
      <c r="S377" s="35"/>
      <c r="T377" s="35"/>
      <c r="U377" s="35"/>
      <c r="V377" s="35"/>
    </row>
    <row r="378" spans="1:22">
      <c r="A378" s="70">
        <v>374</v>
      </c>
      <c r="B378" s="36">
        <v>46193</v>
      </c>
      <c r="C378" s="35" t="s">
        <v>1014</v>
      </c>
      <c r="D378" s="35">
        <v>13644392189</v>
      </c>
      <c r="E378" s="35" t="s">
        <v>919</v>
      </c>
      <c r="F378" s="35" t="s">
        <v>1009</v>
      </c>
      <c r="G378" s="35" t="s">
        <v>210</v>
      </c>
      <c r="H378" s="35" t="s">
        <v>162</v>
      </c>
      <c r="I378" s="35"/>
      <c r="J378" s="56">
        <v>46194.6041666667</v>
      </c>
      <c r="K378" s="35" t="s">
        <v>1015</v>
      </c>
      <c r="L378" s="35" t="s">
        <v>343</v>
      </c>
      <c r="M378" s="35" t="s">
        <v>162</v>
      </c>
      <c r="N378" s="35" t="s">
        <v>285</v>
      </c>
      <c r="O378" s="35">
        <v>93</v>
      </c>
      <c r="P378" s="121" t="s">
        <v>1016</v>
      </c>
      <c r="Q378" s="35" t="s">
        <v>477</v>
      </c>
      <c r="R378" s="35">
        <v>1010</v>
      </c>
      <c r="S378" s="35"/>
      <c r="T378" s="35"/>
      <c r="U378" s="35"/>
      <c r="V378" s="35"/>
    </row>
    <row r="379" spans="1:22">
      <c r="A379" s="70">
        <v>375</v>
      </c>
      <c r="B379" s="36">
        <v>46197</v>
      </c>
      <c r="C379" s="35" t="s">
        <v>1017</v>
      </c>
      <c r="D379" s="35">
        <v>13655881272</v>
      </c>
      <c r="E379" s="35" t="s">
        <v>599</v>
      </c>
      <c r="F379" s="35" t="s">
        <v>1009</v>
      </c>
      <c r="G379" s="35" t="s">
        <v>210</v>
      </c>
      <c r="H379" s="35" t="s">
        <v>162</v>
      </c>
      <c r="I379" s="35"/>
      <c r="J379" s="56">
        <v>46198.5833333333</v>
      </c>
      <c r="K379" s="35" t="s">
        <v>296</v>
      </c>
      <c r="L379" s="35" t="s">
        <v>170</v>
      </c>
      <c r="M379" s="35" t="s">
        <v>162</v>
      </c>
      <c r="N379" s="35" t="s">
        <v>531</v>
      </c>
      <c r="O379" s="35">
        <v>259</v>
      </c>
      <c r="P379" s="121" t="s">
        <v>1018</v>
      </c>
      <c r="Q379" s="35" t="s">
        <v>1019</v>
      </c>
      <c r="R379" s="35">
        <v>6999.5</v>
      </c>
      <c r="S379" s="35"/>
      <c r="T379" s="35"/>
      <c r="U379" s="35"/>
      <c r="V379" s="35"/>
    </row>
    <row r="380" spans="1:22">
      <c r="A380" s="70">
        <v>376</v>
      </c>
      <c r="B380" s="36">
        <v>46197</v>
      </c>
      <c r="C380" s="35" t="s">
        <v>1020</v>
      </c>
      <c r="D380" s="35">
        <v>18801771358</v>
      </c>
      <c r="E380" s="35" t="s">
        <v>159</v>
      </c>
      <c r="F380" s="35" t="s">
        <v>1009</v>
      </c>
      <c r="G380" s="35" t="s">
        <v>210</v>
      </c>
      <c r="H380" s="35" t="s">
        <v>162</v>
      </c>
      <c r="I380" s="35"/>
      <c r="J380" s="56">
        <v>46199.5</v>
      </c>
      <c r="K380" s="35" t="s">
        <v>924</v>
      </c>
      <c r="L380" s="35" t="s">
        <v>684</v>
      </c>
      <c r="M380" s="35" t="s">
        <v>162</v>
      </c>
      <c r="N380" s="35" t="s">
        <v>468</v>
      </c>
      <c r="O380" s="35">
        <v>394</v>
      </c>
      <c r="P380" s="122" t="s">
        <v>1021</v>
      </c>
      <c r="Q380" s="35" t="s">
        <v>1022</v>
      </c>
      <c r="R380" s="35">
        <v>6999</v>
      </c>
      <c r="S380" s="35"/>
      <c r="T380" s="35"/>
      <c r="U380" s="35"/>
      <c r="V380" s="35"/>
    </row>
    <row r="381" spans="1:22">
      <c r="A381" s="70">
        <v>377</v>
      </c>
      <c r="B381" s="36">
        <v>46197</v>
      </c>
      <c r="C381" s="35" t="s">
        <v>1023</v>
      </c>
      <c r="D381" s="35"/>
      <c r="E381" s="35" t="s">
        <v>725</v>
      </c>
      <c r="F381" s="35" t="s">
        <v>1009</v>
      </c>
      <c r="G381" s="35"/>
      <c r="H381" s="35" t="s">
        <v>200</v>
      </c>
      <c r="I381" s="35"/>
      <c r="J381" s="56"/>
      <c r="K381" s="35"/>
      <c r="L381" s="35"/>
      <c r="M381" s="35"/>
      <c r="N381" s="35"/>
      <c r="O381" s="35"/>
      <c r="P381" s="38"/>
      <c r="Q381" s="35"/>
      <c r="R381" s="35"/>
      <c r="S381" s="35"/>
      <c r="T381" s="35"/>
      <c r="U381" s="35"/>
      <c r="V381" s="35"/>
    </row>
    <row r="382" spans="1:22">
      <c r="A382" s="70">
        <v>378</v>
      </c>
      <c r="B382" s="36">
        <v>46197</v>
      </c>
      <c r="C382" s="35" t="s">
        <v>1024</v>
      </c>
      <c r="D382" s="35"/>
      <c r="E382" s="35" t="s">
        <v>773</v>
      </c>
      <c r="F382" s="35" t="s">
        <v>1009</v>
      </c>
      <c r="G382" s="35"/>
      <c r="H382" s="35" t="s">
        <v>200</v>
      </c>
      <c r="I382" s="35"/>
      <c r="J382" s="56"/>
      <c r="K382" s="35"/>
      <c r="L382" s="35"/>
      <c r="M382" s="35"/>
      <c r="N382" s="35"/>
      <c r="O382" s="35"/>
      <c r="P382" s="38"/>
      <c r="Q382" s="35"/>
      <c r="R382" s="35"/>
      <c r="S382" s="35"/>
      <c r="T382" s="35"/>
      <c r="U382" s="35"/>
      <c r="V382" s="35"/>
    </row>
    <row r="383" spans="1:22">
      <c r="A383" s="70">
        <v>379</v>
      </c>
      <c r="B383" s="36">
        <v>46199</v>
      </c>
      <c r="C383" s="35" t="s">
        <v>1025</v>
      </c>
      <c r="D383" s="35">
        <v>13957805078</v>
      </c>
      <c r="E383" s="35" t="s">
        <v>315</v>
      </c>
      <c r="F383" s="35" t="s">
        <v>189</v>
      </c>
      <c r="G383" s="35" t="s">
        <v>210</v>
      </c>
      <c r="H383" s="35" t="s">
        <v>162</v>
      </c>
      <c r="I383" s="35"/>
      <c r="J383" s="56">
        <v>46200.6041666667</v>
      </c>
      <c r="K383" s="35" t="s">
        <v>196</v>
      </c>
      <c r="L383" s="35" t="s">
        <v>719</v>
      </c>
      <c r="M383" s="35"/>
      <c r="N383" s="35" t="s">
        <v>662</v>
      </c>
      <c r="O383" s="35">
        <v>113</v>
      </c>
      <c r="P383" s="121" t="s">
        <v>1026</v>
      </c>
      <c r="Q383" s="35"/>
      <c r="R383" s="35"/>
      <c r="S383" s="35"/>
      <c r="T383" s="35"/>
      <c r="U383" s="35"/>
      <c r="V383" s="35"/>
    </row>
    <row r="384" spans="1:22">
      <c r="A384" s="70">
        <v>380</v>
      </c>
      <c r="B384" s="36">
        <v>46202</v>
      </c>
      <c r="C384" s="35" t="s">
        <v>458</v>
      </c>
      <c r="D384" s="35">
        <v>13575615425</v>
      </c>
      <c r="E384" s="35" t="s">
        <v>296</v>
      </c>
      <c r="F384" s="35" t="s">
        <v>176</v>
      </c>
      <c r="G384" s="35"/>
      <c r="H384" s="35" t="s">
        <v>200</v>
      </c>
      <c r="I384" s="35" t="s">
        <v>1027</v>
      </c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</row>
    <row r="385" s="18" customFormat="1" spans="1:22">
      <c r="A385" s="41">
        <v>381</v>
      </c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</row>
    <row r="386" spans="1:22">
      <c r="A386" s="70">
        <v>1</v>
      </c>
      <c r="B386" s="36">
        <v>46205</v>
      </c>
      <c r="C386" s="35" t="s">
        <v>1028</v>
      </c>
      <c r="D386" s="35">
        <v>18768107323</v>
      </c>
      <c r="E386" s="35"/>
      <c r="F386" s="35" t="s">
        <v>189</v>
      </c>
      <c r="G386" s="35"/>
      <c r="H386" s="35" t="s">
        <v>200</v>
      </c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</row>
    <row r="387" spans="1:22">
      <c r="A387" s="70">
        <v>2</v>
      </c>
      <c r="B387" s="36">
        <v>46205</v>
      </c>
      <c r="C387" s="35" t="s">
        <v>1029</v>
      </c>
      <c r="D387" s="35">
        <v>15168157823</v>
      </c>
      <c r="E387" s="35"/>
      <c r="F387" s="35" t="s">
        <v>189</v>
      </c>
      <c r="G387" s="35"/>
      <c r="H387" s="35" t="s">
        <v>200</v>
      </c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</row>
    <row r="388" spans="1:22">
      <c r="A388" s="70">
        <v>3</v>
      </c>
      <c r="B388" s="36">
        <v>46207</v>
      </c>
      <c r="C388" s="35" t="s">
        <v>1030</v>
      </c>
      <c r="D388" s="35">
        <v>13857892065</v>
      </c>
      <c r="E388" s="35" t="s">
        <v>1031</v>
      </c>
      <c r="F388" s="35" t="s">
        <v>189</v>
      </c>
      <c r="G388" s="35" t="s">
        <v>177</v>
      </c>
      <c r="H388" s="35" t="s">
        <v>162</v>
      </c>
      <c r="I388" s="35"/>
      <c r="J388" s="56">
        <v>46212.6354166667</v>
      </c>
      <c r="K388" s="35" t="s">
        <v>296</v>
      </c>
      <c r="L388" s="35" t="s">
        <v>170</v>
      </c>
      <c r="M388" s="35" t="s">
        <v>162</v>
      </c>
      <c r="N388" s="35" t="s">
        <v>468</v>
      </c>
      <c r="O388" s="35">
        <v>384</v>
      </c>
      <c r="P388" s="121" t="s">
        <v>1032</v>
      </c>
      <c r="Q388" s="35" t="s">
        <v>1033</v>
      </c>
      <c r="R388" s="35">
        <v>5998</v>
      </c>
      <c r="S388" s="35"/>
      <c r="T388" s="35"/>
      <c r="U388" s="35"/>
      <c r="V388" s="35"/>
    </row>
    <row r="389" spans="1:22">
      <c r="A389" s="70">
        <v>4</v>
      </c>
      <c r="B389" s="36">
        <v>46208</v>
      </c>
      <c r="C389" s="35">
        <v>7</v>
      </c>
      <c r="D389" s="35"/>
      <c r="E389" s="35"/>
      <c r="F389" s="35" t="s">
        <v>169</v>
      </c>
      <c r="G389" s="35"/>
      <c r="H389" s="35" t="s">
        <v>200</v>
      </c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</row>
    <row r="390" ht="47.25" spans="1:22">
      <c r="A390" s="70">
        <v>5</v>
      </c>
      <c r="B390" s="36">
        <v>46210</v>
      </c>
      <c r="C390" s="35" t="s">
        <v>1034</v>
      </c>
      <c r="D390" s="35">
        <v>15057476760</v>
      </c>
      <c r="E390" s="35" t="s">
        <v>634</v>
      </c>
      <c r="F390" s="35" t="s">
        <v>189</v>
      </c>
      <c r="G390" s="35" t="s">
        <v>177</v>
      </c>
      <c r="H390" s="35" t="s">
        <v>162</v>
      </c>
      <c r="I390" s="35"/>
      <c r="J390" s="56">
        <v>46217.5034722222</v>
      </c>
      <c r="K390" s="35" t="s">
        <v>272</v>
      </c>
      <c r="L390" s="35" t="s">
        <v>343</v>
      </c>
      <c r="M390" s="35"/>
      <c r="N390" s="35" t="s">
        <v>743</v>
      </c>
      <c r="O390" s="35">
        <v>189.99</v>
      </c>
      <c r="P390" s="122" t="s">
        <v>1035</v>
      </c>
      <c r="Q390" s="35"/>
      <c r="R390" s="35"/>
      <c r="S390" s="35"/>
      <c r="T390" s="35"/>
      <c r="U390" s="35"/>
      <c r="V390" s="35"/>
    </row>
    <row r="391" spans="1:22">
      <c r="A391" s="70">
        <v>6</v>
      </c>
      <c r="B391" s="36">
        <v>46210</v>
      </c>
      <c r="C391" s="35" t="s">
        <v>291</v>
      </c>
      <c r="D391" s="51">
        <v>18868180455</v>
      </c>
      <c r="E391" s="35" t="s">
        <v>315</v>
      </c>
      <c r="F391" s="35" t="s">
        <v>189</v>
      </c>
      <c r="G391" s="35" t="s">
        <v>190</v>
      </c>
      <c r="H391" s="35" t="s">
        <v>200</v>
      </c>
      <c r="I391" s="35" t="s">
        <v>1036</v>
      </c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</row>
    <row r="392" spans="1:22">
      <c r="A392" s="70">
        <v>7</v>
      </c>
      <c r="B392" s="36">
        <v>46210</v>
      </c>
      <c r="C392" s="35" t="s">
        <v>1037</v>
      </c>
      <c r="D392" s="52"/>
      <c r="E392" s="35" t="s">
        <v>315</v>
      </c>
      <c r="F392" s="35" t="s">
        <v>189</v>
      </c>
      <c r="G392" s="35" t="s">
        <v>190</v>
      </c>
      <c r="H392" s="35" t="s">
        <v>200</v>
      </c>
      <c r="I392" s="35" t="s">
        <v>1036</v>
      </c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</row>
    <row r="393" spans="1:22">
      <c r="A393" s="70">
        <v>8</v>
      </c>
      <c r="B393" s="36">
        <v>46214</v>
      </c>
      <c r="C393" s="35" t="s">
        <v>1038</v>
      </c>
      <c r="D393" s="52">
        <v>13646802726</v>
      </c>
      <c r="E393" s="35" t="s">
        <v>584</v>
      </c>
      <c r="F393" s="35" t="s">
        <v>169</v>
      </c>
      <c r="G393" s="35"/>
      <c r="H393" s="35" t="s">
        <v>200</v>
      </c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</row>
    <row r="394" ht="78.75" spans="1:22">
      <c r="A394" s="70">
        <v>9</v>
      </c>
      <c r="B394" s="36">
        <v>46216</v>
      </c>
      <c r="C394" s="35" t="s">
        <v>1039</v>
      </c>
      <c r="D394" s="35">
        <v>13567825661</v>
      </c>
      <c r="E394" s="35" t="s">
        <v>1040</v>
      </c>
      <c r="F394" s="35" t="s">
        <v>278</v>
      </c>
      <c r="G394" s="35" t="s">
        <v>177</v>
      </c>
      <c r="H394" s="35" t="s">
        <v>162</v>
      </c>
      <c r="I394" s="35"/>
      <c r="J394" s="56">
        <v>46216.5</v>
      </c>
      <c r="K394" s="35" t="s">
        <v>558</v>
      </c>
      <c r="L394" s="35" t="s">
        <v>435</v>
      </c>
      <c r="M394" s="35"/>
      <c r="N394" s="35" t="s">
        <v>1041</v>
      </c>
      <c r="O394" s="35">
        <v>285</v>
      </c>
      <c r="P394" s="122" t="s">
        <v>1042</v>
      </c>
      <c r="Q394" s="35"/>
      <c r="R394" s="35"/>
      <c r="S394" s="35"/>
      <c r="T394" s="35"/>
      <c r="U394" s="35"/>
      <c r="V394" s="35"/>
    </row>
    <row r="395" ht="47.25" spans="1:22">
      <c r="A395" s="70">
        <v>10</v>
      </c>
      <c r="B395" s="36">
        <v>46216</v>
      </c>
      <c r="C395" s="35" t="s">
        <v>1043</v>
      </c>
      <c r="D395" s="44">
        <v>15906556064</v>
      </c>
      <c r="E395" s="35" t="s">
        <v>725</v>
      </c>
      <c r="F395" s="35" t="s">
        <v>189</v>
      </c>
      <c r="G395" s="35" t="s">
        <v>190</v>
      </c>
      <c r="H395" s="35" t="s">
        <v>162</v>
      </c>
      <c r="I395" s="35"/>
      <c r="J395" s="56">
        <v>46217.375</v>
      </c>
      <c r="K395" s="35" t="s">
        <v>171</v>
      </c>
      <c r="L395" s="35" t="s">
        <v>170</v>
      </c>
      <c r="M395" s="35"/>
      <c r="N395" s="35" t="s">
        <v>743</v>
      </c>
      <c r="O395" s="35">
        <v>199.99</v>
      </c>
      <c r="P395" s="122" t="s">
        <v>1044</v>
      </c>
      <c r="Q395" s="35"/>
      <c r="R395" s="35"/>
      <c r="S395" s="35"/>
      <c r="T395" s="35"/>
      <c r="U395" s="35"/>
      <c r="V395" s="35"/>
    </row>
    <row r="396" ht="47.25" spans="1:22">
      <c r="A396" s="70">
        <v>11</v>
      </c>
      <c r="B396" s="36">
        <v>46216</v>
      </c>
      <c r="C396" s="35" t="s">
        <v>1045</v>
      </c>
      <c r="D396" s="45"/>
      <c r="E396" s="35" t="s">
        <v>725</v>
      </c>
      <c r="F396" s="35" t="s">
        <v>189</v>
      </c>
      <c r="G396" s="35" t="s">
        <v>190</v>
      </c>
      <c r="H396" s="35" t="s">
        <v>162</v>
      </c>
      <c r="I396" s="35"/>
      <c r="J396" s="56">
        <v>46217.375</v>
      </c>
      <c r="K396" s="35" t="s">
        <v>171</v>
      </c>
      <c r="L396" s="35" t="s">
        <v>170</v>
      </c>
      <c r="M396" s="35"/>
      <c r="N396" s="35" t="s">
        <v>1046</v>
      </c>
      <c r="O396" s="35">
        <v>197.81</v>
      </c>
      <c r="P396" s="122" t="s">
        <v>1047</v>
      </c>
      <c r="Q396" s="35"/>
      <c r="R396" s="35"/>
      <c r="S396" s="35"/>
      <c r="T396" s="35"/>
      <c r="U396" s="35"/>
      <c r="V396" s="35"/>
    </row>
    <row r="397" spans="1:22">
      <c r="A397" s="70">
        <v>12</v>
      </c>
      <c r="B397" s="36">
        <v>46216</v>
      </c>
      <c r="C397" s="35" t="s">
        <v>1048</v>
      </c>
      <c r="D397" s="35">
        <v>13505880409</v>
      </c>
      <c r="E397" s="35" t="s">
        <v>315</v>
      </c>
      <c r="F397" s="35" t="s">
        <v>189</v>
      </c>
      <c r="G397" s="35"/>
      <c r="H397" s="35" t="s">
        <v>200</v>
      </c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</row>
    <row r="398" ht="47.25" spans="1:22">
      <c r="A398" s="70">
        <v>13</v>
      </c>
      <c r="B398" s="36">
        <v>46216</v>
      </c>
      <c r="C398" s="35" t="s">
        <v>1049</v>
      </c>
      <c r="D398" s="35">
        <v>15810626702</v>
      </c>
      <c r="E398" s="35" t="s">
        <v>1050</v>
      </c>
      <c r="F398" s="35" t="s">
        <v>189</v>
      </c>
      <c r="G398" s="35" t="s">
        <v>177</v>
      </c>
      <c r="H398" s="35" t="s">
        <v>162</v>
      </c>
      <c r="I398" s="35"/>
      <c r="J398" s="56">
        <v>46217.5034722222</v>
      </c>
      <c r="K398" s="35" t="s">
        <v>272</v>
      </c>
      <c r="L398" s="35" t="s">
        <v>343</v>
      </c>
      <c r="M398" s="35"/>
      <c r="N398" s="35" t="s">
        <v>743</v>
      </c>
      <c r="O398" s="35">
        <v>199.99</v>
      </c>
      <c r="P398" s="122" t="s">
        <v>1051</v>
      </c>
      <c r="Q398" s="35"/>
      <c r="R398" s="35"/>
      <c r="S398" s="35"/>
      <c r="T398" s="35"/>
      <c r="U398" s="35"/>
      <c r="V398" s="35"/>
    </row>
    <row r="399" spans="1:22">
      <c r="A399" s="70">
        <v>14</v>
      </c>
      <c r="B399" s="36">
        <v>46216</v>
      </c>
      <c r="C399" s="35" t="s">
        <v>809</v>
      </c>
      <c r="D399" s="35"/>
      <c r="E399" s="35" t="s">
        <v>910</v>
      </c>
      <c r="F399" s="35" t="s">
        <v>189</v>
      </c>
      <c r="G399" s="35"/>
      <c r="H399" s="35" t="s">
        <v>200</v>
      </c>
      <c r="I399" s="35" t="s">
        <v>549</v>
      </c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</row>
    <row r="400" ht="31.5" spans="1:22">
      <c r="A400" s="70">
        <v>15</v>
      </c>
      <c r="B400" s="36">
        <v>46217</v>
      </c>
      <c r="C400" s="35" t="s">
        <v>1052</v>
      </c>
      <c r="D400" s="35">
        <v>13738890788</v>
      </c>
      <c r="E400" s="35" t="s">
        <v>584</v>
      </c>
      <c r="F400" s="35" t="s">
        <v>169</v>
      </c>
      <c r="G400" s="35" t="s">
        <v>177</v>
      </c>
      <c r="H400" s="35" t="s">
        <v>162</v>
      </c>
      <c r="I400" s="35" t="s">
        <v>1053</v>
      </c>
      <c r="J400" s="56">
        <v>46217.7638888889</v>
      </c>
      <c r="K400" s="35" t="s">
        <v>287</v>
      </c>
      <c r="L400" s="35" t="s">
        <v>170</v>
      </c>
      <c r="M400" s="35" t="s">
        <v>162</v>
      </c>
      <c r="N400" s="35" t="s">
        <v>312</v>
      </c>
      <c r="O400" s="35">
        <v>49.01</v>
      </c>
      <c r="P400" s="122" t="s">
        <v>1054</v>
      </c>
      <c r="Q400" s="35" t="s">
        <v>1055</v>
      </c>
      <c r="R400" s="35" t="s">
        <v>1056</v>
      </c>
      <c r="S400" s="35">
        <v>1999</v>
      </c>
      <c r="T400" s="35"/>
      <c r="U400" s="35"/>
      <c r="V400" s="35"/>
    </row>
    <row r="401" ht="31.5" spans="1:22">
      <c r="A401" s="70">
        <v>16</v>
      </c>
      <c r="B401" s="36">
        <v>46217</v>
      </c>
      <c r="C401" s="35" t="s">
        <v>1057</v>
      </c>
      <c r="D401" s="35">
        <v>13757466031</v>
      </c>
      <c r="E401" s="35" t="s">
        <v>584</v>
      </c>
      <c r="F401" s="35" t="s">
        <v>169</v>
      </c>
      <c r="G401" s="35" t="s">
        <v>177</v>
      </c>
      <c r="H401" s="35" t="s">
        <v>162</v>
      </c>
      <c r="I401" s="35"/>
      <c r="J401" s="56">
        <v>46217.7638888889</v>
      </c>
      <c r="K401" s="35" t="s">
        <v>287</v>
      </c>
      <c r="L401" s="35" t="s">
        <v>170</v>
      </c>
      <c r="M401" s="35" t="s">
        <v>162</v>
      </c>
      <c r="N401" s="35" t="s">
        <v>312</v>
      </c>
      <c r="O401" s="35">
        <v>44.59</v>
      </c>
      <c r="P401" s="122" t="s">
        <v>1058</v>
      </c>
      <c r="Q401" s="35" t="s">
        <v>1055</v>
      </c>
      <c r="R401" s="35" t="s">
        <v>1056</v>
      </c>
      <c r="S401" s="35">
        <v>1999</v>
      </c>
      <c r="T401" s="35"/>
      <c r="U401" s="35"/>
      <c r="V401" s="35"/>
    </row>
    <row r="402" spans="1:22">
      <c r="A402" s="70">
        <v>17</v>
      </c>
      <c r="B402" s="36">
        <v>46217</v>
      </c>
      <c r="C402" s="35" t="s">
        <v>1059</v>
      </c>
      <c r="D402" s="35">
        <v>13958894232</v>
      </c>
      <c r="E402" s="35" t="s">
        <v>584</v>
      </c>
      <c r="F402" s="35" t="s">
        <v>169</v>
      </c>
      <c r="G402" s="35" t="s">
        <v>177</v>
      </c>
      <c r="H402" s="35" t="s">
        <v>162</v>
      </c>
      <c r="I402" s="35"/>
      <c r="J402" s="56">
        <v>46217.7638888889</v>
      </c>
      <c r="K402" s="35" t="s">
        <v>287</v>
      </c>
      <c r="L402" s="35" t="s">
        <v>170</v>
      </c>
      <c r="M402" s="35"/>
      <c r="N402" s="35" t="s">
        <v>312</v>
      </c>
      <c r="O402" s="35">
        <v>23.22</v>
      </c>
      <c r="P402" s="121" t="s">
        <v>1060</v>
      </c>
      <c r="Q402" s="35" t="s">
        <v>1061</v>
      </c>
      <c r="R402" s="35"/>
      <c r="S402" s="35"/>
      <c r="T402" s="35"/>
      <c r="U402" s="35"/>
      <c r="V402" s="35"/>
    </row>
    <row r="403" ht="78.75" spans="1:22">
      <c r="A403" s="70">
        <v>18</v>
      </c>
      <c r="B403" s="36">
        <v>46217</v>
      </c>
      <c r="C403" s="35" t="s">
        <v>1062</v>
      </c>
      <c r="D403" s="35">
        <v>15869315623</v>
      </c>
      <c r="E403" s="35" t="s">
        <v>1063</v>
      </c>
      <c r="F403" s="35" t="s">
        <v>189</v>
      </c>
      <c r="G403" s="35" t="s">
        <v>177</v>
      </c>
      <c r="H403" s="35" t="s">
        <v>162</v>
      </c>
      <c r="I403" s="35"/>
      <c r="J403" s="56">
        <v>46217.8125</v>
      </c>
      <c r="K403" s="35" t="s">
        <v>1064</v>
      </c>
      <c r="L403" s="35" t="s">
        <v>248</v>
      </c>
      <c r="M403" s="35"/>
      <c r="N403" s="35" t="s">
        <v>1041</v>
      </c>
      <c r="O403" s="35">
        <v>284.05</v>
      </c>
      <c r="P403" s="122" t="s">
        <v>1065</v>
      </c>
      <c r="Q403" s="35"/>
      <c r="R403" s="35"/>
      <c r="S403" s="35"/>
      <c r="T403" s="35"/>
      <c r="U403" s="35"/>
      <c r="V403" s="35"/>
    </row>
    <row r="404" spans="1:22">
      <c r="A404" s="70">
        <v>19</v>
      </c>
      <c r="B404" s="36">
        <v>46217</v>
      </c>
      <c r="C404" s="35" t="s">
        <v>1066</v>
      </c>
      <c r="D404" s="35">
        <v>18758976511</v>
      </c>
      <c r="E404" s="35" t="s">
        <v>1067</v>
      </c>
      <c r="F404" s="35" t="s">
        <v>169</v>
      </c>
      <c r="G404" s="35" t="s">
        <v>177</v>
      </c>
      <c r="H404" s="35" t="s">
        <v>162</v>
      </c>
      <c r="I404" s="35"/>
      <c r="J404" s="56">
        <v>46217.7638888889</v>
      </c>
      <c r="K404" s="35" t="s">
        <v>287</v>
      </c>
      <c r="L404" s="35" t="s">
        <v>170</v>
      </c>
      <c r="M404" s="35"/>
      <c r="N404" s="35" t="s">
        <v>312</v>
      </c>
      <c r="O404" s="35">
        <v>22.3</v>
      </c>
      <c r="P404" s="121" t="s">
        <v>1068</v>
      </c>
      <c r="Q404" s="35" t="s">
        <v>1061</v>
      </c>
      <c r="R404" s="35"/>
      <c r="S404" s="35"/>
      <c r="T404" s="35"/>
      <c r="U404" s="35"/>
      <c r="V404" s="35"/>
    </row>
    <row r="405" spans="1:22">
      <c r="A405" s="70">
        <v>20</v>
      </c>
      <c r="B405" s="36">
        <v>46217</v>
      </c>
      <c r="C405" s="35" t="s">
        <v>1069</v>
      </c>
      <c r="D405" s="35">
        <v>18216045288</v>
      </c>
      <c r="E405" s="35" t="s">
        <v>1067</v>
      </c>
      <c r="F405" s="35" t="s">
        <v>169</v>
      </c>
      <c r="G405" s="35" t="s">
        <v>177</v>
      </c>
      <c r="H405" s="35" t="s">
        <v>162</v>
      </c>
      <c r="I405" s="35"/>
      <c r="J405" s="56">
        <v>46217.7638888889</v>
      </c>
      <c r="K405" s="35" t="s">
        <v>287</v>
      </c>
      <c r="L405" s="35" t="s">
        <v>170</v>
      </c>
      <c r="M405" s="35"/>
      <c r="N405" s="35" t="s">
        <v>312</v>
      </c>
      <c r="O405" s="35">
        <v>22.3</v>
      </c>
      <c r="P405" s="122" t="s">
        <v>1070</v>
      </c>
      <c r="Q405" s="35" t="s">
        <v>1061</v>
      </c>
      <c r="R405" s="35"/>
      <c r="S405" s="35"/>
      <c r="T405" s="35"/>
      <c r="U405" s="35"/>
      <c r="V405" s="35"/>
    </row>
    <row r="406" ht="47.25" spans="1:22">
      <c r="A406" s="70">
        <v>21</v>
      </c>
      <c r="B406" s="36">
        <v>46217</v>
      </c>
      <c r="C406" s="35" t="s">
        <v>1071</v>
      </c>
      <c r="D406" s="35">
        <v>13968284875</v>
      </c>
      <c r="E406" s="35" t="s">
        <v>860</v>
      </c>
      <c r="F406" s="35" t="s">
        <v>169</v>
      </c>
      <c r="G406" s="35" t="s">
        <v>177</v>
      </c>
      <c r="H406" s="35" t="s">
        <v>162</v>
      </c>
      <c r="I406" s="35"/>
      <c r="J406" s="56">
        <v>46218.4375</v>
      </c>
      <c r="K406" s="35" t="s">
        <v>485</v>
      </c>
      <c r="L406" s="35" t="s">
        <v>170</v>
      </c>
      <c r="M406" s="35"/>
      <c r="N406" s="35" t="s">
        <v>312</v>
      </c>
      <c r="O406" s="35">
        <v>80.57</v>
      </c>
      <c r="P406" s="38" t="s">
        <v>1072</v>
      </c>
      <c r="Q406" s="35" t="s">
        <v>1073</v>
      </c>
      <c r="R406" s="35"/>
      <c r="S406" s="35"/>
      <c r="T406" s="35"/>
      <c r="U406" s="35"/>
      <c r="V406" s="35"/>
    </row>
    <row r="407" ht="47.25" spans="1:22">
      <c r="A407" s="70">
        <v>22</v>
      </c>
      <c r="B407" s="36">
        <v>46217</v>
      </c>
      <c r="C407" s="35" t="s">
        <v>1074</v>
      </c>
      <c r="D407" s="35">
        <v>13780014589</v>
      </c>
      <c r="E407" s="35" t="s">
        <v>295</v>
      </c>
      <c r="F407" s="35" t="s">
        <v>169</v>
      </c>
      <c r="G407" s="35" t="s">
        <v>177</v>
      </c>
      <c r="H407" s="35" t="s">
        <v>162</v>
      </c>
      <c r="I407" s="35"/>
      <c r="J407" s="56">
        <v>46218.4375</v>
      </c>
      <c r="K407" s="35" t="s">
        <v>485</v>
      </c>
      <c r="L407" s="35" t="s">
        <v>170</v>
      </c>
      <c r="M407" s="35"/>
      <c r="N407" s="35" t="s">
        <v>312</v>
      </c>
      <c r="O407" s="35">
        <v>73.53</v>
      </c>
      <c r="P407" s="122" t="s">
        <v>1075</v>
      </c>
      <c r="Q407" s="35"/>
      <c r="R407" s="35"/>
      <c r="S407" s="35"/>
      <c r="T407" s="35"/>
      <c r="U407" s="35"/>
      <c r="V407" s="35"/>
    </row>
    <row r="408" ht="47.25" spans="1:22">
      <c r="A408" s="70">
        <v>23</v>
      </c>
      <c r="B408" s="36">
        <v>46217</v>
      </c>
      <c r="C408" s="35" t="s">
        <v>1076</v>
      </c>
      <c r="D408" s="35"/>
      <c r="E408" s="35" t="s">
        <v>860</v>
      </c>
      <c r="F408" s="35" t="s">
        <v>169</v>
      </c>
      <c r="G408" s="35" t="s">
        <v>177</v>
      </c>
      <c r="H408" s="35" t="s">
        <v>162</v>
      </c>
      <c r="I408" s="35"/>
      <c r="J408" s="56">
        <v>46218.4375</v>
      </c>
      <c r="K408" s="35" t="s">
        <v>485</v>
      </c>
      <c r="L408" s="35" t="s">
        <v>170</v>
      </c>
      <c r="M408" s="35"/>
      <c r="N408" s="35" t="s">
        <v>312</v>
      </c>
      <c r="O408" s="35">
        <v>73.71</v>
      </c>
      <c r="P408" s="122" t="s">
        <v>1077</v>
      </c>
      <c r="Q408" s="35"/>
      <c r="R408" s="35"/>
      <c r="S408" s="35"/>
      <c r="T408" s="35"/>
      <c r="U408" s="35"/>
      <c r="V408" s="35"/>
    </row>
    <row r="409" spans="1:22">
      <c r="A409" s="70">
        <v>24</v>
      </c>
      <c r="B409" s="36">
        <v>46218</v>
      </c>
      <c r="C409" s="35" t="s">
        <v>1078</v>
      </c>
      <c r="D409" s="35">
        <v>15757417564</v>
      </c>
      <c r="E409" s="35" t="s">
        <v>195</v>
      </c>
      <c r="F409" s="35" t="s">
        <v>189</v>
      </c>
      <c r="G409" s="35"/>
      <c r="H409" s="35" t="s">
        <v>200</v>
      </c>
      <c r="I409" s="35"/>
      <c r="J409" s="56"/>
      <c r="K409" s="35"/>
      <c r="L409" s="35"/>
      <c r="M409" s="35"/>
      <c r="N409" s="35"/>
      <c r="O409" s="35"/>
      <c r="P409" s="38"/>
      <c r="Q409" s="35"/>
      <c r="R409" s="35"/>
      <c r="S409" s="35"/>
      <c r="T409" s="35"/>
      <c r="U409" s="35"/>
      <c r="V409" s="35"/>
    </row>
    <row r="410" spans="1:22">
      <c r="A410" s="70">
        <v>25</v>
      </c>
      <c r="B410" s="36">
        <v>46218</v>
      </c>
      <c r="C410" s="35" t="s">
        <v>1079</v>
      </c>
      <c r="D410" s="35">
        <v>15757854734</v>
      </c>
      <c r="E410" s="35" t="s">
        <v>195</v>
      </c>
      <c r="F410" s="35" t="s">
        <v>189</v>
      </c>
      <c r="G410" s="35"/>
      <c r="H410" s="35" t="s">
        <v>200</v>
      </c>
      <c r="I410" s="35"/>
      <c r="J410" s="56"/>
      <c r="K410" s="35"/>
      <c r="L410" s="35"/>
      <c r="M410" s="35"/>
      <c r="N410" s="35"/>
      <c r="O410" s="35"/>
      <c r="P410" s="38"/>
      <c r="Q410" s="35"/>
      <c r="R410" s="35"/>
      <c r="S410" s="35"/>
      <c r="T410" s="35"/>
      <c r="U410" s="35"/>
      <c r="V410" s="35"/>
    </row>
    <row r="411" spans="1:22">
      <c r="A411" s="70">
        <v>26</v>
      </c>
      <c r="B411" s="36">
        <v>46219</v>
      </c>
      <c r="C411" s="35" t="s">
        <v>1080</v>
      </c>
      <c r="D411" s="35">
        <v>13484287383</v>
      </c>
      <c r="E411" s="35" t="s">
        <v>584</v>
      </c>
      <c r="F411" s="35" t="s">
        <v>169</v>
      </c>
      <c r="G411" s="35"/>
      <c r="H411" s="35" t="s">
        <v>200</v>
      </c>
      <c r="I411" s="35"/>
      <c r="J411" s="56"/>
      <c r="K411" s="35"/>
      <c r="L411" s="35"/>
      <c r="M411" s="35"/>
      <c r="N411" s="35"/>
      <c r="O411" s="35"/>
      <c r="P411" s="38"/>
      <c r="Q411" s="35"/>
      <c r="R411" s="35"/>
      <c r="S411" s="35"/>
      <c r="T411" s="35"/>
      <c r="U411" s="35"/>
      <c r="V411" s="35"/>
    </row>
    <row r="412" spans="1:22">
      <c r="A412" s="70">
        <v>27</v>
      </c>
      <c r="B412" s="36">
        <v>46219</v>
      </c>
      <c r="C412" s="35" t="s">
        <v>1081</v>
      </c>
      <c r="D412" s="35">
        <v>13598565966</v>
      </c>
      <c r="E412" s="35" t="s">
        <v>584</v>
      </c>
      <c r="F412" s="35" t="s">
        <v>169</v>
      </c>
      <c r="G412" s="35"/>
      <c r="H412" s="35" t="s">
        <v>200</v>
      </c>
      <c r="I412" s="35"/>
      <c r="J412" s="56"/>
      <c r="K412" s="35"/>
      <c r="L412" s="35"/>
      <c r="M412" s="35"/>
      <c r="N412" s="35"/>
      <c r="O412" s="35"/>
      <c r="P412" s="38"/>
      <c r="Q412" s="35"/>
      <c r="R412" s="35"/>
      <c r="S412" s="35"/>
      <c r="T412" s="35"/>
      <c r="U412" s="35"/>
      <c r="V412" s="35"/>
    </row>
    <row r="413" spans="1:22">
      <c r="A413" s="70">
        <v>28</v>
      </c>
      <c r="B413" s="36">
        <v>46219</v>
      </c>
      <c r="C413" s="35" t="s">
        <v>1082</v>
      </c>
      <c r="D413" s="35">
        <v>18358597922</v>
      </c>
      <c r="E413" s="35" t="s">
        <v>1083</v>
      </c>
      <c r="F413" s="35" t="s">
        <v>189</v>
      </c>
      <c r="G413" s="35"/>
      <c r="H413" s="35" t="s">
        <v>200</v>
      </c>
      <c r="I413" s="35" t="s">
        <v>1084</v>
      </c>
      <c r="J413" s="56"/>
      <c r="K413" s="35"/>
      <c r="L413" s="35"/>
      <c r="M413" s="35"/>
      <c r="N413" s="35"/>
      <c r="O413" s="35"/>
      <c r="P413" s="38"/>
      <c r="Q413" s="35"/>
      <c r="R413" s="35"/>
      <c r="S413" s="35"/>
      <c r="T413" s="35"/>
      <c r="U413" s="35"/>
      <c r="V413" s="35"/>
    </row>
    <row r="414" spans="1:22">
      <c r="A414" s="70">
        <v>29</v>
      </c>
      <c r="B414" s="36">
        <v>46220</v>
      </c>
      <c r="C414" s="35" t="s">
        <v>1085</v>
      </c>
      <c r="D414" s="35">
        <v>13989611409</v>
      </c>
      <c r="E414" s="35" t="s">
        <v>919</v>
      </c>
      <c r="F414" s="35" t="s">
        <v>169</v>
      </c>
      <c r="G414" s="35" t="s">
        <v>190</v>
      </c>
      <c r="H414" s="35" t="s">
        <v>162</v>
      </c>
      <c r="I414" s="35" t="s">
        <v>1086</v>
      </c>
      <c r="J414" s="56">
        <v>46221.5034722222</v>
      </c>
      <c r="K414" s="35" t="s">
        <v>625</v>
      </c>
      <c r="L414" s="35" t="s">
        <v>170</v>
      </c>
      <c r="M414" s="35"/>
      <c r="N414" s="35" t="s">
        <v>312</v>
      </c>
      <c r="O414" s="35">
        <v>24.51</v>
      </c>
      <c r="P414" s="121" t="s">
        <v>1087</v>
      </c>
      <c r="Q414" s="35" t="s">
        <v>1088</v>
      </c>
      <c r="R414" s="35"/>
      <c r="S414" s="35"/>
      <c r="T414" s="35"/>
      <c r="U414" s="35"/>
      <c r="V414" s="35"/>
    </row>
    <row r="415" ht="47.25" spans="1:22">
      <c r="A415" s="70">
        <v>30</v>
      </c>
      <c r="B415" s="36">
        <v>46222</v>
      </c>
      <c r="C415" s="35" t="s">
        <v>388</v>
      </c>
      <c r="D415" s="35">
        <v>13884453739</v>
      </c>
      <c r="E415" s="35" t="s">
        <v>584</v>
      </c>
      <c r="F415" s="35" t="s">
        <v>169</v>
      </c>
      <c r="G415" s="35" t="s">
        <v>1089</v>
      </c>
      <c r="H415" s="35" t="s">
        <v>162</v>
      </c>
      <c r="I415" s="35" t="s">
        <v>1090</v>
      </c>
      <c r="J415" s="56">
        <v>46223.75</v>
      </c>
      <c r="K415" s="35" t="s">
        <v>1091</v>
      </c>
      <c r="L415" s="35" t="s">
        <v>300</v>
      </c>
      <c r="M415" s="35"/>
      <c r="N415" s="35" t="s">
        <v>312</v>
      </c>
      <c r="O415" s="35">
        <v>66.88</v>
      </c>
      <c r="P415" s="122" t="s">
        <v>1092</v>
      </c>
      <c r="Q415" s="35"/>
      <c r="R415" s="35"/>
      <c r="S415" s="35"/>
      <c r="T415" s="35"/>
      <c r="U415" s="35"/>
      <c r="V415" s="35"/>
    </row>
    <row r="416" spans="1:22">
      <c r="A416" s="70">
        <v>31</v>
      </c>
      <c r="B416" s="36">
        <v>46222</v>
      </c>
      <c r="C416" s="35" t="s">
        <v>1093</v>
      </c>
      <c r="D416" s="35">
        <v>18856016694</v>
      </c>
      <c r="E416" s="35" t="s">
        <v>584</v>
      </c>
      <c r="F416" s="35" t="s">
        <v>189</v>
      </c>
      <c r="G416" s="35"/>
      <c r="H416" s="35" t="s">
        <v>200</v>
      </c>
      <c r="I416" s="35" t="s">
        <v>722</v>
      </c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</row>
    <row r="417" spans="1:22">
      <c r="A417" s="70">
        <v>32</v>
      </c>
      <c r="B417" s="36">
        <v>46222</v>
      </c>
      <c r="C417" s="35" t="s">
        <v>1094</v>
      </c>
      <c r="D417" s="35"/>
      <c r="E417" s="35" t="s">
        <v>1095</v>
      </c>
      <c r="F417" s="35" t="s">
        <v>189</v>
      </c>
      <c r="G417" s="35"/>
      <c r="H417" s="35" t="s">
        <v>200</v>
      </c>
      <c r="I417" s="35" t="s">
        <v>722</v>
      </c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</row>
    <row r="418" spans="1:22">
      <c r="A418" s="70">
        <v>33</v>
      </c>
      <c r="B418" s="36">
        <v>46223</v>
      </c>
      <c r="C418" s="35" t="s">
        <v>1096</v>
      </c>
      <c r="D418" s="35">
        <v>15925962075</v>
      </c>
      <c r="E418" s="35" t="s">
        <v>1097</v>
      </c>
      <c r="F418" s="35" t="s">
        <v>169</v>
      </c>
      <c r="G418" s="35"/>
      <c r="H418" s="35" t="s">
        <v>200</v>
      </c>
      <c r="I418" s="35" t="s">
        <v>1098</v>
      </c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</row>
    <row r="419" spans="1:22">
      <c r="A419" s="70">
        <v>34</v>
      </c>
      <c r="B419" s="36">
        <v>46223</v>
      </c>
      <c r="C419" s="35" t="s">
        <v>1099</v>
      </c>
      <c r="D419" s="35">
        <v>13065819002</v>
      </c>
      <c r="E419" s="35" t="s">
        <v>860</v>
      </c>
      <c r="F419" s="35" t="s">
        <v>169</v>
      </c>
      <c r="G419" s="35" t="s">
        <v>177</v>
      </c>
      <c r="H419" s="35" t="s">
        <v>200</v>
      </c>
      <c r="I419" s="35" t="s">
        <v>1100</v>
      </c>
      <c r="J419" s="56">
        <v>46224.5034722222</v>
      </c>
      <c r="K419" s="35" t="s">
        <v>272</v>
      </c>
      <c r="L419" s="35" t="s">
        <v>343</v>
      </c>
      <c r="M419" s="35"/>
      <c r="N419" s="35"/>
      <c r="O419" s="35"/>
      <c r="P419" s="35"/>
      <c r="Q419" s="35"/>
      <c r="R419" s="35"/>
      <c r="S419" s="35"/>
      <c r="T419" s="35"/>
      <c r="U419" s="35"/>
      <c r="V419" s="35"/>
    </row>
    <row r="420" spans="1:22">
      <c r="A420" s="70">
        <v>35</v>
      </c>
      <c r="B420" s="36">
        <v>46224</v>
      </c>
      <c r="C420" s="35" t="s">
        <v>1101</v>
      </c>
      <c r="D420" s="35">
        <v>15267856879</v>
      </c>
      <c r="E420" s="35" t="s">
        <v>1102</v>
      </c>
      <c r="F420" s="35" t="s">
        <v>169</v>
      </c>
      <c r="G420" s="35"/>
      <c r="H420" s="35" t="s">
        <v>200</v>
      </c>
      <c r="I420" s="35"/>
      <c r="J420" s="56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</row>
    <row r="421" spans="1:22">
      <c r="A421" s="70">
        <v>36</v>
      </c>
      <c r="B421" s="36">
        <v>46225</v>
      </c>
      <c r="C421" s="35" t="s">
        <v>1004</v>
      </c>
      <c r="D421" s="35">
        <v>13857407580</v>
      </c>
      <c r="E421" s="35" t="s">
        <v>584</v>
      </c>
      <c r="F421" s="35" t="s">
        <v>169</v>
      </c>
      <c r="G421" s="35"/>
      <c r="H421" s="35" t="s">
        <v>200</v>
      </c>
      <c r="I421" s="35" t="s">
        <v>1103</v>
      </c>
      <c r="J421" s="56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</row>
    <row r="422" spans="1:22">
      <c r="A422" s="70">
        <v>37</v>
      </c>
      <c r="B422" s="36">
        <v>46225</v>
      </c>
      <c r="C422" s="35" t="s">
        <v>1104</v>
      </c>
      <c r="D422" s="35">
        <v>13957830650</v>
      </c>
      <c r="E422" s="35" t="s">
        <v>725</v>
      </c>
      <c r="F422" s="35" t="s">
        <v>169</v>
      </c>
      <c r="G422" s="35" t="s">
        <v>1089</v>
      </c>
      <c r="H422" s="35" t="s">
        <v>162</v>
      </c>
      <c r="I422" s="35" t="s">
        <v>1105</v>
      </c>
      <c r="J422" s="56">
        <v>46231.75</v>
      </c>
      <c r="K422" s="35" t="s">
        <v>287</v>
      </c>
      <c r="L422" s="35" t="s">
        <v>170</v>
      </c>
      <c r="M422" s="35"/>
      <c r="N422" s="35" t="s">
        <v>312</v>
      </c>
      <c r="O422" s="35">
        <v>29.13</v>
      </c>
      <c r="P422" s="121" t="s">
        <v>1106</v>
      </c>
      <c r="Q422" s="35" t="s">
        <v>1107</v>
      </c>
      <c r="R422" s="35"/>
      <c r="S422" s="35"/>
      <c r="T422" s="35"/>
      <c r="U422" s="35"/>
      <c r="V422" s="35"/>
    </row>
    <row r="423" spans="1:22">
      <c r="A423" s="70">
        <v>38</v>
      </c>
      <c r="B423" s="36">
        <v>46227</v>
      </c>
      <c r="C423" s="35" t="s">
        <v>1108</v>
      </c>
      <c r="D423" s="35">
        <v>18822825725</v>
      </c>
      <c r="E423" s="35" t="s">
        <v>159</v>
      </c>
      <c r="F423" s="35" t="s">
        <v>169</v>
      </c>
      <c r="G423" s="35" t="s">
        <v>1089</v>
      </c>
      <c r="H423" s="35" t="s">
        <v>162</v>
      </c>
      <c r="I423" s="35"/>
      <c r="J423" s="56">
        <v>46235.8125</v>
      </c>
      <c r="K423" s="35" t="s">
        <v>657</v>
      </c>
      <c r="L423" s="35" t="s">
        <v>1109</v>
      </c>
      <c r="M423" s="35"/>
      <c r="N423" s="35" t="s">
        <v>429</v>
      </c>
      <c r="O423" s="35">
        <v>372.4</v>
      </c>
      <c r="P423" s="121" t="s">
        <v>1110</v>
      </c>
      <c r="Q423" s="35"/>
      <c r="R423" s="35"/>
      <c r="S423" s="35"/>
      <c r="T423" s="35"/>
      <c r="U423" s="35"/>
      <c r="V423" s="35"/>
    </row>
    <row r="424" spans="1:22">
      <c r="A424" s="70">
        <v>39</v>
      </c>
      <c r="B424" s="36">
        <v>46227</v>
      </c>
      <c r="C424" s="35" t="s">
        <v>1111</v>
      </c>
      <c r="D424" s="35">
        <v>13566566723</v>
      </c>
      <c r="E424" s="35" t="s">
        <v>315</v>
      </c>
      <c r="F424" s="35" t="s">
        <v>189</v>
      </c>
      <c r="G424" s="35"/>
      <c r="H424" s="35" t="s">
        <v>200</v>
      </c>
      <c r="I424" s="35" t="s">
        <v>1112</v>
      </c>
      <c r="J424" s="56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</row>
    <row r="425" spans="1:22">
      <c r="A425" s="70">
        <v>40</v>
      </c>
      <c r="B425" s="36">
        <v>46228</v>
      </c>
      <c r="C425" s="35" t="s">
        <v>696</v>
      </c>
      <c r="D425" s="35"/>
      <c r="E425" s="35" t="s">
        <v>195</v>
      </c>
      <c r="F425" s="35" t="s">
        <v>189</v>
      </c>
      <c r="G425" s="35" t="s">
        <v>1109</v>
      </c>
      <c r="H425" s="35" t="s">
        <v>162</v>
      </c>
      <c r="I425" s="35"/>
      <c r="J425" s="56">
        <v>46237.6458333333</v>
      </c>
      <c r="K425" s="35" t="s">
        <v>657</v>
      </c>
      <c r="L425" s="35" t="s">
        <v>211</v>
      </c>
      <c r="M425" s="35"/>
      <c r="N425" s="35" t="s">
        <v>1113</v>
      </c>
      <c r="O425" s="35">
        <v>246.05</v>
      </c>
      <c r="P425" s="121" t="s">
        <v>1114</v>
      </c>
      <c r="Q425" s="35"/>
      <c r="R425" s="35"/>
      <c r="S425" s="35"/>
      <c r="T425" s="35"/>
      <c r="U425" s="35"/>
      <c r="V425" s="35"/>
    </row>
    <row r="426" spans="1:22">
      <c r="A426" s="70">
        <v>41</v>
      </c>
      <c r="B426" s="36">
        <v>46228</v>
      </c>
      <c r="C426" s="35" t="s">
        <v>1115</v>
      </c>
      <c r="D426" s="35">
        <v>15867603344</v>
      </c>
      <c r="E426" s="35"/>
      <c r="F426" s="35" t="s">
        <v>189</v>
      </c>
      <c r="G426" s="35"/>
      <c r="H426" s="35" t="s">
        <v>200</v>
      </c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</row>
    <row r="427" spans="1:22">
      <c r="A427" s="70">
        <v>42</v>
      </c>
      <c r="B427" s="36">
        <v>46229</v>
      </c>
      <c r="C427" s="35" t="s">
        <v>1116</v>
      </c>
      <c r="D427" s="35">
        <v>13216688275</v>
      </c>
      <c r="E427" s="35" t="s">
        <v>725</v>
      </c>
      <c r="F427" s="35" t="s">
        <v>169</v>
      </c>
      <c r="G427" s="35" t="s">
        <v>1089</v>
      </c>
      <c r="H427" s="35" t="s">
        <v>162</v>
      </c>
      <c r="I427" s="35"/>
      <c r="J427" s="56">
        <v>46236.75</v>
      </c>
      <c r="K427" s="35" t="s">
        <v>171</v>
      </c>
      <c r="L427" s="35" t="s">
        <v>1109</v>
      </c>
      <c r="M427" s="35"/>
      <c r="N427" s="35" t="s">
        <v>226</v>
      </c>
      <c r="O427" s="35">
        <v>52.6</v>
      </c>
      <c r="P427" s="121" t="s">
        <v>1117</v>
      </c>
      <c r="Q427" s="35" t="s">
        <v>1107</v>
      </c>
      <c r="R427" s="35"/>
      <c r="S427" s="35"/>
      <c r="T427" s="35"/>
      <c r="U427" s="35"/>
      <c r="V427" s="35"/>
    </row>
    <row r="428" spans="1:22">
      <c r="A428" s="70">
        <v>43</v>
      </c>
      <c r="B428" s="36">
        <v>46229</v>
      </c>
      <c r="C428" s="35" t="s">
        <v>1118</v>
      </c>
      <c r="D428" s="35"/>
      <c r="E428" s="35" t="s">
        <v>1119</v>
      </c>
      <c r="F428" s="35" t="s">
        <v>169</v>
      </c>
      <c r="G428" s="35"/>
      <c r="H428" s="35" t="s">
        <v>200</v>
      </c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</row>
    <row r="429" spans="1:22">
      <c r="A429" s="70">
        <v>44</v>
      </c>
      <c r="B429" s="36">
        <v>46229</v>
      </c>
      <c r="C429" s="35" t="s">
        <v>1120</v>
      </c>
      <c r="D429" s="35">
        <v>13727203634</v>
      </c>
      <c r="E429" s="35" t="s">
        <v>584</v>
      </c>
      <c r="F429" s="35" t="s">
        <v>189</v>
      </c>
      <c r="G429" s="35"/>
      <c r="H429" s="35" t="s">
        <v>200</v>
      </c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</row>
    <row r="430" spans="1:22">
      <c r="A430" s="70">
        <v>45</v>
      </c>
      <c r="B430" s="36">
        <v>46230</v>
      </c>
      <c r="C430" s="35" t="s">
        <v>403</v>
      </c>
      <c r="D430" s="35">
        <v>18856016694</v>
      </c>
      <c r="E430" s="35" t="s">
        <v>584</v>
      </c>
      <c r="F430" s="35" t="s">
        <v>189</v>
      </c>
      <c r="G430" s="35" t="s">
        <v>939</v>
      </c>
      <c r="H430" s="35" t="s">
        <v>162</v>
      </c>
      <c r="I430" s="35"/>
      <c r="J430" s="56">
        <v>46230.8125</v>
      </c>
      <c r="K430" s="35" t="s">
        <v>1091</v>
      </c>
      <c r="L430" s="35" t="s">
        <v>300</v>
      </c>
      <c r="M430" s="35"/>
      <c r="N430" s="35" t="s">
        <v>1121</v>
      </c>
      <c r="O430" s="35">
        <v>93</v>
      </c>
      <c r="P430" s="121" t="s">
        <v>1122</v>
      </c>
      <c r="Q430" s="35"/>
      <c r="R430" s="35"/>
      <c r="S430" s="35"/>
      <c r="T430" s="35"/>
      <c r="U430" s="35"/>
      <c r="V430" s="35"/>
    </row>
    <row r="431" spans="1:22">
      <c r="A431" s="70">
        <v>46</v>
      </c>
      <c r="B431" s="36">
        <v>46231</v>
      </c>
      <c r="C431" s="35" t="s">
        <v>1123</v>
      </c>
      <c r="D431" s="35">
        <v>13023773862</v>
      </c>
      <c r="E431" s="35" t="s">
        <v>315</v>
      </c>
      <c r="F431" s="35" t="s">
        <v>169</v>
      </c>
      <c r="G431" s="35" t="s">
        <v>1109</v>
      </c>
      <c r="H431" s="35" t="s">
        <v>162</v>
      </c>
      <c r="I431" s="35"/>
      <c r="J431" s="56">
        <v>46239.75</v>
      </c>
      <c r="K431" s="35" t="s">
        <v>196</v>
      </c>
      <c r="L431" s="35" t="s">
        <v>190</v>
      </c>
      <c r="M431" s="35"/>
      <c r="N431" s="35" t="s">
        <v>522</v>
      </c>
      <c r="O431" s="35">
        <v>98.33</v>
      </c>
      <c r="P431" s="121" t="s">
        <v>1124</v>
      </c>
      <c r="Q431" s="35"/>
      <c r="R431" s="35"/>
      <c r="S431" s="35"/>
      <c r="T431" s="35"/>
      <c r="U431" s="35"/>
      <c r="V431" s="35"/>
    </row>
    <row r="432" spans="1:22">
      <c r="A432" s="70">
        <v>47</v>
      </c>
      <c r="B432" s="36">
        <v>46231</v>
      </c>
      <c r="C432" s="35" t="s">
        <v>1125</v>
      </c>
      <c r="D432" s="35">
        <v>15381383979</v>
      </c>
      <c r="E432" s="35" t="s">
        <v>725</v>
      </c>
      <c r="F432" s="35" t="s">
        <v>169</v>
      </c>
      <c r="G432" s="35"/>
      <c r="H432" s="35" t="s">
        <v>200</v>
      </c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</row>
    <row r="433" spans="1:22">
      <c r="A433" s="70">
        <v>48</v>
      </c>
      <c r="B433" s="36">
        <v>46232</v>
      </c>
      <c r="C433" s="35" t="s">
        <v>1126</v>
      </c>
      <c r="D433" s="35">
        <v>13566595468</v>
      </c>
      <c r="E433" s="35" t="s">
        <v>315</v>
      </c>
      <c r="F433" s="35" t="s">
        <v>169</v>
      </c>
      <c r="G433" s="35"/>
      <c r="H433" s="35" t="s">
        <v>200</v>
      </c>
      <c r="I433" s="35" t="s">
        <v>747</v>
      </c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</row>
    <row r="434" s="20" customFormat="1" spans="1:22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</row>
    <row r="435" spans="1:22">
      <c r="A435" s="35">
        <v>1</v>
      </c>
      <c r="B435" s="36">
        <v>46235</v>
      </c>
      <c r="C435" s="35" t="s">
        <v>445</v>
      </c>
      <c r="D435" s="51">
        <v>15258319346</v>
      </c>
      <c r="E435" s="35" t="s">
        <v>159</v>
      </c>
      <c r="F435" s="35" t="s">
        <v>189</v>
      </c>
      <c r="G435" s="35" t="s">
        <v>939</v>
      </c>
      <c r="H435" s="35" t="s">
        <v>162</v>
      </c>
      <c r="I435" s="35"/>
      <c r="J435" s="56">
        <v>46235.7916666667</v>
      </c>
      <c r="K435" s="35" t="s">
        <v>1127</v>
      </c>
      <c r="L435" s="35" t="s">
        <v>170</v>
      </c>
      <c r="M435" s="35"/>
      <c r="N435" s="51" t="s">
        <v>1128</v>
      </c>
      <c r="O435" s="51">
        <v>361</v>
      </c>
      <c r="P435" s="123" t="s">
        <v>1129</v>
      </c>
      <c r="Q435" s="35"/>
      <c r="R435" s="35"/>
      <c r="S435" s="35"/>
      <c r="T435" s="35"/>
      <c r="U435" s="35"/>
      <c r="V435" s="35"/>
    </row>
    <row r="436" spans="1:22">
      <c r="A436" s="35">
        <v>2</v>
      </c>
      <c r="B436" s="36">
        <v>46235</v>
      </c>
      <c r="C436" s="35" t="s">
        <v>316</v>
      </c>
      <c r="D436" s="52"/>
      <c r="E436" s="35" t="s">
        <v>159</v>
      </c>
      <c r="F436" s="35" t="s">
        <v>189</v>
      </c>
      <c r="G436" s="35" t="s">
        <v>939</v>
      </c>
      <c r="H436" s="35" t="s">
        <v>162</v>
      </c>
      <c r="I436" s="35"/>
      <c r="J436" s="56">
        <v>46235.7916666667</v>
      </c>
      <c r="K436" s="35" t="s">
        <v>1127</v>
      </c>
      <c r="L436" s="35" t="s">
        <v>170</v>
      </c>
      <c r="M436" s="35"/>
      <c r="N436" s="52"/>
      <c r="O436" s="52"/>
      <c r="P436" s="52"/>
      <c r="Q436" s="35"/>
      <c r="R436" s="35"/>
      <c r="S436" s="35"/>
      <c r="T436" s="35"/>
      <c r="U436" s="35"/>
      <c r="V436" s="35"/>
    </row>
    <row r="437" spans="1:22">
      <c r="A437" s="35">
        <v>3</v>
      </c>
      <c r="B437" s="36">
        <v>46235</v>
      </c>
      <c r="C437" s="35" t="s">
        <v>1130</v>
      </c>
      <c r="D437" s="35"/>
      <c r="E437" s="35" t="s">
        <v>1131</v>
      </c>
      <c r="F437" s="35" t="s">
        <v>176</v>
      </c>
      <c r="G437" s="35" t="s">
        <v>177</v>
      </c>
      <c r="H437" s="35" t="s">
        <v>200</v>
      </c>
      <c r="I437" s="35"/>
      <c r="J437" s="56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</row>
    <row r="438" spans="1:22">
      <c r="A438" s="35">
        <v>4</v>
      </c>
      <c r="B438" s="36">
        <v>46235</v>
      </c>
      <c r="C438" s="35" t="s">
        <v>1132</v>
      </c>
      <c r="D438" s="35">
        <v>18358788872</v>
      </c>
      <c r="E438" s="35" t="s">
        <v>725</v>
      </c>
      <c r="F438" s="35" t="s">
        <v>1133</v>
      </c>
      <c r="G438" s="35"/>
      <c r="H438" s="35" t="s">
        <v>200</v>
      </c>
      <c r="I438" s="35"/>
      <c r="J438" s="56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</row>
    <row r="439" spans="1:22">
      <c r="A439" s="35">
        <v>5</v>
      </c>
      <c r="B439" s="36">
        <v>46235</v>
      </c>
      <c r="C439" s="35" t="s">
        <v>1134</v>
      </c>
      <c r="D439" s="35">
        <v>15888192906</v>
      </c>
      <c r="E439" s="35" t="s">
        <v>1135</v>
      </c>
      <c r="F439" s="35" t="s">
        <v>1133</v>
      </c>
      <c r="G439" s="35"/>
      <c r="H439" s="35" t="s">
        <v>200</v>
      </c>
      <c r="I439" s="35"/>
      <c r="J439" s="56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</row>
    <row r="440" spans="1:22">
      <c r="A440" s="35">
        <v>6</v>
      </c>
      <c r="B440" s="36">
        <v>46235</v>
      </c>
      <c r="C440" s="35" t="s">
        <v>1136</v>
      </c>
      <c r="D440" s="35">
        <v>18868311296</v>
      </c>
      <c r="E440" s="35" t="s">
        <v>919</v>
      </c>
      <c r="F440" s="35" t="s">
        <v>189</v>
      </c>
      <c r="G440" s="35"/>
      <c r="H440" s="35" t="s">
        <v>200</v>
      </c>
      <c r="I440" s="35"/>
      <c r="J440" s="56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</row>
    <row r="441" spans="1:22">
      <c r="A441" s="35">
        <v>7</v>
      </c>
      <c r="B441" s="36">
        <v>46237</v>
      </c>
      <c r="C441" s="35" t="s">
        <v>1137</v>
      </c>
      <c r="D441" s="35">
        <v>15869360812</v>
      </c>
      <c r="E441" s="35" t="s">
        <v>315</v>
      </c>
      <c r="F441" s="35" t="s">
        <v>189</v>
      </c>
      <c r="G441" s="35" t="s">
        <v>1089</v>
      </c>
      <c r="H441" s="35" t="s">
        <v>162</v>
      </c>
      <c r="I441" s="35"/>
      <c r="J441" s="56">
        <v>46239.75</v>
      </c>
      <c r="K441" s="35" t="s">
        <v>196</v>
      </c>
      <c r="L441" s="35" t="s">
        <v>190</v>
      </c>
      <c r="M441" s="35"/>
      <c r="N441" s="35" t="s">
        <v>522</v>
      </c>
      <c r="O441" s="35">
        <v>91.67</v>
      </c>
      <c r="P441" s="121" t="s">
        <v>1138</v>
      </c>
      <c r="Q441" s="35"/>
      <c r="R441" s="35"/>
      <c r="S441" s="35"/>
      <c r="T441" s="35"/>
      <c r="U441" s="35"/>
      <c r="V441" s="35"/>
    </row>
    <row r="442" spans="1:22">
      <c r="A442" s="35">
        <v>8</v>
      </c>
      <c r="B442" s="36">
        <v>46238</v>
      </c>
      <c r="C442" s="35" t="s">
        <v>1139</v>
      </c>
      <c r="D442" s="35">
        <v>15306662764</v>
      </c>
      <c r="E442" s="35" t="s">
        <v>195</v>
      </c>
      <c r="F442" s="35" t="s">
        <v>169</v>
      </c>
      <c r="G442" s="35" t="s">
        <v>1109</v>
      </c>
      <c r="H442" s="35" t="s">
        <v>162</v>
      </c>
      <c r="I442" s="35"/>
      <c r="J442" s="56">
        <v>46240.4375</v>
      </c>
      <c r="K442" s="35" t="s">
        <v>467</v>
      </c>
      <c r="L442" s="35" t="s">
        <v>435</v>
      </c>
      <c r="M442" s="35"/>
      <c r="N442" s="35" t="s">
        <v>429</v>
      </c>
      <c r="O442" s="35">
        <v>363.19</v>
      </c>
      <c r="P442" s="121" t="s">
        <v>1140</v>
      </c>
      <c r="Q442" s="35"/>
      <c r="R442" s="35"/>
      <c r="S442" s="35"/>
      <c r="T442" s="35"/>
      <c r="U442" s="35"/>
      <c r="V442" s="35"/>
    </row>
    <row r="443" spans="1:22">
      <c r="A443" s="35">
        <v>9</v>
      </c>
      <c r="B443" s="36">
        <v>46238</v>
      </c>
      <c r="C443" s="35" t="s">
        <v>1141</v>
      </c>
      <c r="D443" s="35">
        <v>13373885360</v>
      </c>
      <c r="E443" s="35" t="s">
        <v>1142</v>
      </c>
      <c r="F443" s="35" t="s">
        <v>189</v>
      </c>
      <c r="G443" s="35" t="s">
        <v>1109</v>
      </c>
      <c r="H443" s="35" t="s">
        <v>162</v>
      </c>
      <c r="I443" s="35" t="s">
        <v>1143</v>
      </c>
      <c r="J443" s="56">
        <v>46240.6458333333</v>
      </c>
      <c r="K443" s="35" t="s">
        <v>1144</v>
      </c>
      <c r="L443" s="35" t="s">
        <v>1109</v>
      </c>
      <c r="M443" s="35" t="s">
        <v>162</v>
      </c>
      <c r="N443" s="35"/>
      <c r="O443" s="35"/>
      <c r="P443" s="35"/>
      <c r="Q443" s="35" t="s">
        <v>1145</v>
      </c>
      <c r="R443" s="35">
        <v>10850</v>
      </c>
      <c r="S443" s="35"/>
      <c r="T443" s="35"/>
      <c r="U443" s="35"/>
      <c r="V443" s="35"/>
    </row>
    <row r="444" ht="31.5" spans="1:22">
      <c r="A444" s="35">
        <v>10</v>
      </c>
      <c r="B444" s="36">
        <v>46238</v>
      </c>
      <c r="C444" s="35" t="s">
        <v>1146</v>
      </c>
      <c r="D444" s="35">
        <v>15925962075</v>
      </c>
      <c r="E444" s="35" t="s">
        <v>1147</v>
      </c>
      <c r="F444" s="35" t="s">
        <v>169</v>
      </c>
      <c r="G444" s="35" t="s">
        <v>939</v>
      </c>
      <c r="H444" s="35" t="s">
        <v>162</v>
      </c>
      <c r="I444" s="35"/>
      <c r="J444" s="56">
        <v>46238.7638888889</v>
      </c>
      <c r="K444" s="35" t="s">
        <v>725</v>
      </c>
      <c r="L444" s="35" t="s">
        <v>170</v>
      </c>
      <c r="M444" s="35"/>
      <c r="N444" s="35" t="s">
        <v>312</v>
      </c>
      <c r="O444" s="35">
        <v>44.58</v>
      </c>
      <c r="P444" s="122" t="s">
        <v>1148</v>
      </c>
      <c r="Q444" s="35"/>
      <c r="R444" s="35"/>
      <c r="S444" s="35"/>
      <c r="T444" s="35"/>
      <c r="U444" s="35"/>
      <c r="V444" s="35"/>
    </row>
    <row r="445" spans="1:22">
      <c r="A445" s="35">
        <v>11</v>
      </c>
      <c r="B445" s="36">
        <v>46239</v>
      </c>
      <c r="C445" s="35" t="s">
        <v>216</v>
      </c>
      <c r="D445" s="35">
        <v>13857882711</v>
      </c>
      <c r="E445" s="35" t="s">
        <v>315</v>
      </c>
      <c r="F445" s="35" t="s">
        <v>189</v>
      </c>
      <c r="G445" s="35"/>
      <c r="H445" s="35" t="s">
        <v>200</v>
      </c>
      <c r="I445" s="35"/>
      <c r="J445" s="56"/>
      <c r="K445" s="35"/>
      <c r="L445" s="35"/>
      <c r="M445" s="35"/>
      <c r="N445" s="35"/>
      <c r="O445" s="35"/>
      <c r="P445" s="38"/>
      <c r="Q445" s="35"/>
      <c r="R445" s="35"/>
      <c r="S445" s="35"/>
      <c r="T445" s="35"/>
      <c r="U445" s="35"/>
      <c r="V445" s="35"/>
    </row>
    <row r="446" spans="1:22">
      <c r="A446" s="35">
        <v>12</v>
      </c>
      <c r="B446" s="36">
        <v>46240</v>
      </c>
      <c r="C446" s="35" t="s">
        <v>1149</v>
      </c>
      <c r="D446" s="35">
        <v>13255843768</v>
      </c>
      <c r="E446" s="35" t="s">
        <v>1150</v>
      </c>
      <c r="F446" s="35" t="s">
        <v>189</v>
      </c>
      <c r="G446" s="35" t="s">
        <v>1089</v>
      </c>
      <c r="H446" s="35" t="s">
        <v>162</v>
      </c>
      <c r="I446" s="35"/>
      <c r="J446" s="56">
        <v>46240.7916666667</v>
      </c>
      <c r="K446" s="35" t="s">
        <v>296</v>
      </c>
      <c r="L446" s="35" t="s">
        <v>170</v>
      </c>
      <c r="M446" s="35"/>
      <c r="N446" s="35" t="s">
        <v>468</v>
      </c>
      <c r="O446" s="35">
        <v>379.05</v>
      </c>
      <c r="P446" s="121" t="s">
        <v>1151</v>
      </c>
      <c r="Q446" s="35"/>
      <c r="R446" s="35"/>
      <c r="S446" s="35"/>
      <c r="T446" s="35"/>
      <c r="U446" s="35"/>
      <c r="V446" s="35"/>
    </row>
    <row r="447" spans="1:22">
      <c r="A447" s="35">
        <v>13</v>
      </c>
      <c r="B447" s="36">
        <v>46241</v>
      </c>
      <c r="C447" s="35" t="s">
        <v>1152</v>
      </c>
      <c r="D447" s="35">
        <v>13989308070</v>
      </c>
      <c r="E447" s="35" t="s">
        <v>888</v>
      </c>
      <c r="F447" s="35" t="s">
        <v>169</v>
      </c>
      <c r="G447" s="35" t="s">
        <v>1109</v>
      </c>
      <c r="H447" s="35" t="s">
        <v>162</v>
      </c>
      <c r="I447" s="35" t="s">
        <v>1153</v>
      </c>
      <c r="J447" s="56">
        <v>46244.6041666667</v>
      </c>
      <c r="K447" s="35" t="s">
        <v>171</v>
      </c>
      <c r="L447" s="35" t="s">
        <v>211</v>
      </c>
      <c r="M447" s="35"/>
      <c r="N447" s="35"/>
      <c r="O447" s="35"/>
      <c r="P447" s="35"/>
      <c r="Q447" s="35"/>
      <c r="R447" s="35"/>
      <c r="S447" s="35"/>
      <c r="T447" s="35"/>
      <c r="U447" s="35"/>
      <c r="V447" s="35"/>
    </row>
    <row r="448" spans="1:22">
      <c r="A448" s="35">
        <v>14</v>
      </c>
      <c r="B448" s="36">
        <v>46241</v>
      </c>
      <c r="C448" s="35" t="s">
        <v>1154</v>
      </c>
      <c r="D448" s="35">
        <v>15381383979</v>
      </c>
      <c r="E448" s="35" t="s">
        <v>725</v>
      </c>
      <c r="F448" s="35" t="s">
        <v>169</v>
      </c>
      <c r="G448" s="35" t="s">
        <v>1089</v>
      </c>
      <c r="H448" s="35" t="s">
        <v>162</v>
      </c>
      <c r="I448" s="35"/>
      <c r="J448" s="56">
        <v>46242.6041666667</v>
      </c>
      <c r="K448" s="35" t="s">
        <v>171</v>
      </c>
      <c r="L448" s="35" t="s">
        <v>1109</v>
      </c>
      <c r="M448" s="35"/>
      <c r="N448" s="35" t="s">
        <v>226</v>
      </c>
      <c r="O448" s="35">
        <v>52.6</v>
      </c>
      <c r="P448" s="121" t="s">
        <v>1155</v>
      </c>
      <c r="Q448" s="35"/>
      <c r="R448" s="35"/>
      <c r="S448" s="35"/>
      <c r="T448" s="35"/>
      <c r="U448" s="35"/>
      <c r="V448" s="35"/>
    </row>
    <row r="449" spans="1:22">
      <c r="A449" s="35">
        <v>15</v>
      </c>
      <c r="B449" s="36">
        <v>46241</v>
      </c>
      <c r="C449" s="35" t="s">
        <v>1156</v>
      </c>
      <c r="D449" s="35">
        <v>15957880999</v>
      </c>
      <c r="E449" s="35" t="s">
        <v>584</v>
      </c>
      <c r="F449" s="35" t="s">
        <v>169</v>
      </c>
      <c r="G449" s="35" t="s">
        <v>177</v>
      </c>
      <c r="H449" s="35" t="s">
        <v>200</v>
      </c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</row>
    <row r="450" spans="1:22">
      <c r="A450" s="35">
        <v>16</v>
      </c>
      <c r="B450" s="36">
        <v>46241</v>
      </c>
      <c r="C450" s="35" t="s">
        <v>1157</v>
      </c>
      <c r="D450" s="35">
        <v>13023718197</v>
      </c>
      <c r="E450" s="35" t="s">
        <v>584</v>
      </c>
      <c r="F450" s="35" t="s">
        <v>169</v>
      </c>
      <c r="G450" s="35"/>
      <c r="H450" s="35" t="s">
        <v>200</v>
      </c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</row>
    <row r="451" spans="1:22">
      <c r="A451" s="35">
        <v>17</v>
      </c>
      <c r="B451" s="36">
        <v>46242</v>
      </c>
      <c r="C451" s="35" t="s">
        <v>1158</v>
      </c>
      <c r="D451" s="35">
        <v>19972527638</v>
      </c>
      <c r="E451" s="35" t="s">
        <v>315</v>
      </c>
      <c r="F451" s="35" t="s">
        <v>267</v>
      </c>
      <c r="G451" s="35"/>
      <c r="H451" s="35" t="s">
        <v>200</v>
      </c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</row>
    <row r="452" spans="1:22">
      <c r="A452" s="35">
        <v>18</v>
      </c>
      <c r="B452" s="36">
        <v>46242</v>
      </c>
      <c r="C452" s="35" t="s">
        <v>1159</v>
      </c>
      <c r="D452" s="35">
        <v>19967603322</v>
      </c>
      <c r="E452" s="35" t="s">
        <v>982</v>
      </c>
      <c r="F452" s="35" t="s">
        <v>169</v>
      </c>
      <c r="G452" s="35"/>
      <c r="H452" s="35" t="s">
        <v>200</v>
      </c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</row>
    <row r="453" spans="1:22">
      <c r="A453" s="35">
        <v>19</v>
      </c>
      <c r="B453" s="36">
        <v>46243</v>
      </c>
      <c r="C453" s="35" t="s">
        <v>1160</v>
      </c>
      <c r="D453" s="35">
        <v>16605410560</v>
      </c>
      <c r="E453" s="35" t="s">
        <v>860</v>
      </c>
      <c r="F453" s="35" t="s">
        <v>169</v>
      </c>
      <c r="G453" s="35" t="s">
        <v>177</v>
      </c>
      <c r="H453" s="35" t="s">
        <v>162</v>
      </c>
      <c r="I453" s="35" t="s">
        <v>1153</v>
      </c>
      <c r="J453" s="56">
        <v>46254.7986111111</v>
      </c>
      <c r="K453" s="35" t="s">
        <v>1161</v>
      </c>
      <c r="L453" s="35" t="s">
        <v>177</v>
      </c>
      <c r="M453" s="35"/>
      <c r="N453" s="35" t="s">
        <v>1162</v>
      </c>
      <c r="O453" s="35">
        <v>33.44</v>
      </c>
      <c r="P453" s="121" t="s">
        <v>1163</v>
      </c>
      <c r="Q453" s="35" t="s">
        <v>1164</v>
      </c>
      <c r="R453" s="35"/>
      <c r="S453" s="35"/>
      <c r="T453" s="35"/>
      <c r="U453" s="35"/>
      <c r="V453" s="35"/>
    </row>
    <row r="454" spans="1:22">
      <c r="A454" s="35">
        <v>20</v>
      </c>
      <c r="B454" s="36">
        <v>46243</v>
      </c>
      <c r="C454" s="35" t="s">
        <v>1165</v>
      </c>
      <c r="D454" s="35">
        <v>18768561434</v>
      </c>
      <c r="E454" s="35" t="s">
        <v>315</v>
      </c>
      <c r="F454" s="35" t="s">
        <v>169</v>
      </c>
      <c r="G454" s="35" t="s">
        <v>1109</v>
      </c>
      <c r="H454" s="35" t="s">
        <v>200</v>
      </c>
      <c r="I454" s="35" t="s">
        <v>1166</v>
      </c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</row>
    <row r="455" spans="1:22">
      <c r="A455" s="35">
        <v>21</v>
      </c>
      <c r="B455" s="36">
        <v>46243</v>
      </c>
      <c r="C455" s="35" t="s">
        <v>1167</v>
      </c>
      <c r="D455" s="35">
        <v>18958361150</v>
      </c>
      <c r="E455" s="35" t="s">
        <v>195</v>
      </c>
      <c r="F455" s="35" t="s">
        <v>169</v>
      </c>
      <c r="G455" s="35"/>
      <c r="H455" s="35" t="s">
        <v>200</v>
      </c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</row>
    <row r="456" spans="1:22">
      <c r="A456" s="35">
        <v>22</v>
      </c>
      <c r="B456" s="36">
        <v>46246</v>
      </c>
      <c r="C456" s="35" t="s">
        <v>1168</v>
      </c>
      <c r="D456" s="35">
        <v>13586822567</v>
      </c>
      <c r="E456" s="35" t="s">
        <v>1169</v>
      </c>
      <c r="F456" s="35" t="s">
        <v>588</v>
      </c>
      <c r="G456" s="35" t="s">
        <v>939</v>
      </c>
      <c r="H456" s="35" t="s">
        <v>162</v>
      </c>
      <c r="I456" s="35" t="s">
        <v>1153</v>
      </c>
      <c r="J456" s="56">
        <v>46246.6041666667</v>
      </c>
      <c r="K456" s="35" t="s">
        <v>1170</v>
      </c>
      <c r="L456" s="35" t="s">
        <v>1109</v>
      </c>
      <c r="M456" s="35" t="s">
        <v>162</v>
      </c>
      <c r="N456" s="35"/>
      <c r="O456" s="35"/>
      <c r="P456" s="35"/>
      <c r="Q456" s="35" t="s">
        <v>1171</v>
      </c>
      <c r="R456" s="35">
        <v>4100</v>
      </c>
      <c r="S456" s="35"/>
      <c r="T456" s="35"/>
      <c r="U456" s="35"/>
      <c r="V456" s="35"/>
    </row>
    <row r="457" spans="1:22">
      <c r="A457" s="35">
        <v>23</v>
      </c>
      <c r="B457" s="36">
        <v>46247</v>
      </c>
      <c r="C457" s="35" t="s">
        <v>1172</v>
      </c>
      <c r="D457" s="35">
        <v>13588287016</v>
      </c>
      <c r="E457" s="35" t="s">
        <v>860</v>
      </c>
      <c r="F457" s="35" t="s">
        <v>169</v>
      </c>
      <c r="G457" s="35"/>
      <c r="H457" s="35" t="s">
        <v>200</v>
      </c>
      <c r="I457" s="35"/>
      <c r="J457" s="56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</row>
    <row r="458" spans="1:22">
      <c r="A458" s="35">
        <v>24</v>
      </c>
      <c r="B458" s="36">
        <v>46247</v>
      </c>
      <c r="C458" s="35" t="s">
        <v>1173</v>
      </c>
      <c r="D458" s="35"/>
      <c r="E458" s="35" t="s">
        <v>315</v>
      </c>
      <c r="F458" s="35" t="s">
        <v>189</v>
      </c>
      <c r="G458" s="35"/>
      <c r="H458" s="35" t="s">
        <v>200</v>
      </c>
      <c r="I458" s="35"/>
      <c r="J458" s="56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</row>
    <row r="459" spans="1:22">
      <c r="A459" s="35">
        <v>25</v>
      </c>
      <c r="B459" s="36">
        <v>46248</v>
      </c>
      <c r="C459" s="35" t="s">
        <v>918</v>
      </c>
      <c r="D459" s="35">
        <v>15056048452</v>
      </c>
      <c r="E459" s="35" t="s">
        <v>919</v>
      </c>
      <c r="F459" s="35" t="s">
        <v>189</v>
      </c>
      <c r="G459" s="35" t="s">
        <v>177</v>
      </c>
      <c r="H459" s="35" t="s">
        <v>162</v>
      </c>
      <c r="I459" s="35" t="s">
        <v>1153</v>
      </c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</row>
    <row r="460" spans="1:22">
      <c r="A460" s="35">
        <v>26</v>
      </c>
      <c r="B460" s="36">
        <v>46248</v>
      </c>
      <c r="C460" s="35" t="s">
        <v>1174</v>
      </c>
      <c r="D460" s="35">
        <v>18358788872</v>
      </c>
      <c r="E460" s="35"/>
      <c r="F460" s="35" t="s">
        <v>1175</v>
      </c>
      <c r="G460" s="35" t="s">
        <v>1109</v>
      </c>
      <c r="H460" s="35" t="s">
        <v>200</v>
      </c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</row>
    <row r="461" spans="1:22">
      <c r="A461" s="35">
        <v>27</v>
      </c>
      <c r="B461" s="36">
        <v>46248</v>
      </c>
      <c r="C461" s="35" t="s">
        <v>403</v>
      </c>
      <c r="D461" s="35">
        <v>18856016694</v>
      </c>
      <c r="E461" s="35"/>
      <c r="F461" s="35" t="s">
        <v>1175</v>
      </c>
      <c r="G461" s="35" t="s">
        <v>177</v>
      </c>
      <c r="H461" s="35" t="s">
        <v>200</v>
      </c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</row>
    <row r="462" spans="1:22">
      <c r="A462" s="35">
        <v>28</v>
      </c>
      <c r="B462" s="36">
        <v>46248</v>
      </c>
      <c r="C462" s="35" t="s">
        <v>246</v>
      </c>
      <c r="D462" s="35"/>
      <c r="E462" s="35" t="s">
        <v>315</v>
      </c>
      <c r="F462" s="35" t="s">
        <v>267</v>
      </c>
      <c r="G462" s="35"/>
      <c r="H462" s="35" t="s">
        <v>200</v>
      </c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</row>
    <row r="463" spans="1:22">
      <c r="A463" s="35">
        <v>29</v>
      </c>
      <c r="B463" s="36">
        <v>46248</v>
      </c>
      <c r="C463" s="35" t="s">
        <v>1176</v>
      </c>
      <c r="D463" s="35">
        <v>18867879733</v>
      </c>
      <c r="E463" s="35" t="s">
        <v>726</v>
      </c>
      <c r="F463" s="35" t="s">
        <v>189</v>
      </c>
      <c r="G463" s="35"/>
      <c r="H463" s="35" t="s">
        <v>200</v>
      </c>
      <c r="I463" s="35" t="s">
        <v>1177</v>
      </c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</row>
    <row r="464" spans="1:22">
      <c r="A464" s="35">
        <v>30</v>
      </c>
      <c r="B464" s="36">
        <v>46251</v>
      </c>
      <c r="C464" s="35" t="s">
        <v>1178</v>
      </c>
      <c r="D464" s="35">
        <v>13989383646</v>
      </c>
      <c r="E464" s="35" t="s">
        <v>1179</v>
      </c>
      <c r="F464" s="35" t="s">
        <v>189</v>
      </c>
      <c r="G464" s="35" t="s">
        <v>177</v>
      </c>
      <c r="H464" s="35" t="s">
        <v>162</v>
      </c>
      <c r="I464" s="35"/>
      <c r="J464" s="56">
        <v>46252.7986111111</v>
      </c>
      <c r="K464" s="35" t="s">
        <v>334</v>
      </c>
      <c r="L464" s="35" t="s">
        <v>177</v>
      </c>
      <c r="M464" s="35"/>
      <c r="N464" s="35" t="s">
        <v>285</v>
      </c>
      <c r="O464" s="35">
        <v>93</v>
      </c>
      <c r="P464" s="121" t="s">
        <v>1180</v>
      </c>
      <c r="Q464" s="35"/>
      <c r="R464" s="35"/>
      <c r="S464" s="35"/>
      <c r="T464" s="35"/>
      <c r="U464" s="35"/>
      <c r="V464" s="35"/>
    </row>
    <row r="465" spans="1:22">
      <c r="A465" s="35">
        <v>31</v>
      </c>
      <c r="B465" s="36">
        <v>46252</v>
      </c>
      <c r="C465" s="35" t="s">
        <v>1181</v>
      </c>
      <c r="D465" s="35">
        <v>18258718753</v>
      </c>
      <c r="E465" s="35" t="s">
        <v>866</v>
      </c>
      <c r="F465" s="35" t="s">
        <v>169</v>
      </c>
      <c r="G465" s="35"/>
      <c r="H465" s="35" t="s">
        <v>200</v>
      </c>
      <c r="I465" s="35" t="s">
        <v>1098</v>
      </c>
      <c r="J465" s="56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</row>
    <row r="466" spans="1:22">
      <c r="A466" s="35">
        <v>32</v>
      </c>
      <c r="B466" s="36">
        <v>46254</v>
      </c>
      <c r="C466" s="35" t="s">
        <v>1182</v>
      </c>
      <c r="D466" s="35">
        <v>13664666610</v>
      </c>
      <c r="E466" s="35" t="s">
        <v>725</v>
      </c>
      <c r="F466" s="35" t="s">
        <v>169</v>
      </c>
      <c r="G466" s="35"/>
      <c r="H466" s="35" t="s">
        <v>200</v>
      </c>
      <c r="I466" s="35" t="s">
        <v>722</v>
      </c>
      <c r="J466" s="56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</row>
    <row r="467" spans="1:22">
      <c r="A467" s="35">
        <v>33</v>
      </c>
      <c r="B467" s="36">
        <v>46254</v>
      </c>
      <c r="C467" s="35" t="s">
        <v>1183</v>
      </c>
      <c r="D467" s="35"/>
      <c r="E467" s="35" t="s">
        <v>1184</v>
      </c>
      <c r="F467" s="35" t="s">
        <v>176</v>
      </c>
      <c r="G467" s="35"/>
      <c r="H467" s="35" t="s">
        <v>200</v>
      </c>
      <c r="I467" s="35" t="s">
        <v>1185</v>
      </c>
      <c r="J467" s="56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</row>
    <row r="468" spans="1:22">
      <c r="A468" s="35">
        <v>34</v>
      </c>
      <c r="B468" s="36">
        <v>46255</v>
      </c>
      <c r="C468" s="35" t="s">
        <v>1186</v>
      </c>
      <c r="D468" s="35">
        <v>18913394285</v>
      </c>
      <c r="E468" s="35" t="s">
        <v>1187</v>
      </c>
      <c r="F468" s="35" t="s">
        <v>189</v>
      </c>
      <c r="G468" s="35" t="s">
        <v>1109</v>
      </c>
      <c r="H468" s="35" t="s">
        <v>162</v>
      </c>
      <c r="I468" s="35"/>
      <c r="J468" s="56">
        <v>46255.7638888889</v>
      </c>
      <c r="K468" s="35" t="s">
        <v>1188</v>
      </c>
      <c r="L468" s="35" t="s">
        <v>1109</v>
      </c>
      <c r="M468" s="35"/>
      <c r="N468" s="35" t="s">
        <v>1189</v>
      </c>
      <c r="O468" s="35">
        <v>73</v>
      </c>
      <c r="P468" s="121" t="s">
        <v>1190</v>
      </c>
      <c r="Q468" s="35"/>
      <c r="R468" s="35"/>
      <c r="S468" s="35"/>
      <c r="T468" s="35"/>
      <c r="U468" s="35"/>
      <c r="V468" s="35"/>
    </row>
    <row r="469" ht="63" spans="1:22">
      <c r="A469" s="35">
        <v>35</v>
      </c>
      <c r="B469" s="36">
        <v>46255</v>
      </c>
      <c r="C469" s="35" t="s">
        <v>1118</v>
      </c>
      <c r="D469" s="35">
        <v>15381393110</v>
      </c>
      <c r="E469" s="35" t="s">
        <v>919</v>
      </c>
      <c r="F469" s="35" t="s">
        <v>169</v>
      </c>
      <c r="G469" s="35" t="s">
        <v>939</v>
      </c>
      <c r="H469" s="35" t="s">
        <v>162</v>
      </c>
      <c r="I469" s="35"/>
      <c r="J469" s="56">
        <v>46255.7986111111</v>
      </c>
      <c r="K469" s="35" t="s">
        <v>1191</v>
      </c>
      <c r="L469" s="35" t="s">
        <v>264</v>
      </c>
      <c r="M469" s="35"/>
      <c r="N469" s="35" t="s">
        <v>1192</v>
      </c>
      <c r="O469" s="35">
        <v>235.77</v>
      </c>
      <c r="P469" s="122" t="s">
        <v>1193</v>
      </c>
      <c r="Q469" s="35"/>
      <c r="R469" s="35"/>
      <c r="S469" s="35"/>
      <c r="T469" s="35"/>
      <c r="U469" s="35"/>
      <c r="V469" s="35"/>
    </row>
    <row r="470" spans="1:22">
      <c r="A470" s="35">
        <v>36</v>
      </c>
      <c r="B470" s="36">
        <v>46255</v>
      </c>
      <c r="C470" s="35" t="s">
        <v>1194</v>
      </c>
      <c r="D470" s="81">
        <v>15890910172</v>
      </c>
      <c r="E470" s="35" t="s">
        <v>888</v>
      </c>
      <c r="F470" s="35" t="s">
        <v>189</v>
      </c>
      <c r="G470" s="35"/>
      <c r="H470" s="35" t="s">
        <v>200</v>
      </c>
      <c r="I470" s="35"/>
      <c r="J470" s="56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</row>
    <row r="471" spans="1:22">
      <c r="A471" s="35">
        <v>37</v>
      </c>
      <c r="B471" s="36">
        <v>46256</v>
      </c>
      <c r="C471" s="35" t="s">
        <v>1195</v>
      </c>
      <c r="D471" s="81">
        <v>15168137140</v>
      </c>
      <c r="E471" s="35" t="s">
        <v>159</v>
      </c>
      <c r="F471" s="35" t="s">
        <v>189</v>
      </c>
      <c r="G471" s="35" t="s">
        <v>1109</v>
      </c>
      <c r="H471" s="35" t="s">
        <v>162</v>
      </c>
      <c r="I471" s="35"/>
      <c r="J471" s="56">
        <v>46267.3958333333</v>
      </c>
      <c r="K471" s="35" t="s">
        <v>1127</v>
      </c>
      <c r="L471" s="35" t="s">
        <v>1109</v>
      </c>
      <c r="M471" s="35"/>
      <c r="N471" s="35"/>
      <c r="O471" s="35"/>
      <c r="P471" s="35"/>
      <c r="Q471" s="35"/>
      <c r="R471" s="35"/>
      <c r="S471" s="35"/>
      <c r="T471" s="35"/>
      <c r="U471" s="35"/>
      <c r="V471" s="35"/>
    </row>
    <row r="472" spans="1:22">
      <c r="A472" s="35">
        <v>38</v>
      </c>
      <c r="B472" s="36">
        <v>46256</v>
      </c>
      <c r="C472" s="35" t="s">
        <v>1196</v>
      </c>
      <c r="D472" s="82"/>
      <c r="E472" s="35" t="s">
        <v>159</v>
      </c>
      <c r="F472" s="35" t="s">
        <v>189</v>
      </c>
      <c r="G472" s="35" t="s">
        <v>1109</v>
      </c>
      <c r="H472" s="35" t="s">
        <v>162</v>
      </c>
      <c r="I472" s="35"/>
      <c r="J472" s="56">
        <v>46267.3958333333</v>
      </c>
      <c r="K472" s="35" t="s">
        <v>1127</v>
      </c>
      <c r="L472" s="35" t="s">
        <v>1109</v>
      </c>
      <c r="M472" s="35"/>
      <c r="N472" s="35"/>
      <c r="O472" s="35"/>
      <c r="P472" s="35"/>
      <c r="Q472" s="35"/>
      <c r="R472" s="35"/>
      <c r="S472" s="35"/>
      <c r="T472" s="35"/>
      <c r="U472" s="35"/>
      <c r="V472" s="35"/>
    </row>
    <row r="473" spans="1:22">
      <c r="A473" s="35">
        <v>39</v>
      </c>
      <c r="B473" s="36">
        <v>46257</v>
      </c>
      <c r="C473" s="35" t="s">
        <v>1197</v>
      </c>
      <c r="D473" s="35">
        <v>15988622455</v>
      </c>
      <c r="E473" s="35" t="s">
        <v>315</v>
      </c>
      <c r="F473" s="35" t="s">
        <v>189</v>
      </c>
      <c r="G473" s="35"/>
      <c r="H473" s="35" t="s">
        <v>200</v>
      </c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</row>
    <row r="474" spans="1:22">
      <c r="A474" s="35">
        <v>40</v>
      </c>
      <c r="B474" s="36">
        <v>46257</v>
      </c>
      <c r="C474" s="35" t="s">
        <v>1198</v>
      </c>
      <c r="D474" s="35">
        <v>15261886675</v>
      </c>
      <c r="E474" s="35" t="s">
        <v>1199</v>
      </c>
      <c r="F474" s="35" t="s">
        <v>169</v>
      </c>
      <c r="G474" s="35"/>
      <c r="H474" s="35" t="s">
        <v>200</v>
      </c>
      <c r="I474" s="35" t="s">
        <v>1200</v>
      </c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</row>
    <row r="475" spans="1:22">
      <c r="A475" s="35">
        <v>41</v>
      </c>
      <c r="B475" s="36">
        <v>46257</v>
      </c>
      <c r="C475" s="35" t="s">
        <v>1201</v>
      </c>
      <c r="D475" s="35">
        <v>13306606019</v>
      </c>
      <c r="E475" s="35" t="s">
        <v>1202</v>
      </c>
      <c r="F475" s="35" t="s">
        <v>169</v>
      </c>
      <c r="G475" s="35"/>
      <c r="H475" s="35" t="s">
        <v>200</v>
      </c>
      <c r="I475" s="35" t="s">
        <v>722</v>
      </c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</row>
    <row r="476" spans="1:22">
      <c r="A476" s="35">
        <v>42</v>
      </c>
      <c r="B476" s="36">
        <v>46257</v>
      </c>
      <c r="C476" s="35" t="s">
        <v>1203</v>
      </c>
      <c r="D476" s="35">
        <v>13685853124</v>
      </c>
      <c r="E476" s="35" t="s">
        <v>725</v>
      </c>
      <c r="F476" s="35" t="s">
        <v>189</v>
      </c>
      <c r="G476" s="35"/>
      <c r="H476" s="35" t="s">
        <v>200</v>
      </c>
      <c r="I476" s="35" t="s">
        <v>722</v>
      </c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</row>
    <row r="477" spans="1:22">
      <c r="A477" s="35">
        <v>43</v>
      </c>
      <c r="B477" s="36">
        <v>46258</v>
      </c>
      <c r="C477" s="35" t="s">
        <v>1197</v>
      </c>
      <c r="D477" s="35"/>
      <c r="E477" s="35" t="s">
        <v>1204</v>
      </c>
      <c r="F477" s="35" t="s">
        <v>189</v>
      </c>
      <c r="G477" s="35"/>
      <c r="H477" s="35" t="s">
        <v>200</v>
      </c>
      <c r="I477" s="35" t="s">
        <v>1205</v>
      </c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</row>
    <row r="478" spans="1:22">
      <c r="A478" s="35">
        <v>44</v>
      </c>
      <c r="B478" s="36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</row>
  </sheetData>
  <mergeCells count="74">
    <mergeCell ref="A1:W1"/>
    <mergeCell ref="A2:W2"/>
    <mergeCell ref="A3:R3"/>
    <mergeCell ref="S3:U3"/>
    <mergeCell ref="V3:W3"/>
    <mergeCell ref="D74:D75"/>
    <mergeCell ref="D86:D87"/>
    <mergeCell ref="D110:D111"/>
    <mergeCell ref="D114:D115"/>
    <mergeCell ref="D133:D134"/>
    <mergeCell ref="D185:D186"/>
    <mergeCell ref="D234:D235"/>
    <mergeCell ref="D278:D279"/>
    <mergeCell ref="D283:D284"/>
    <mergeCell ref="D285:D286"/>
    <mergeCell ref="D309:D310"/>
    <mergeCell ref="D348:D349"/>
    <mergeCell ref="D391:D392"/>
    <mergeCell ref="D395:D396"/>
    <mergeCell ref="D435:D436"/>
    <mergeCell ref="D471:D472"/>
    <mergeCell ref="E234:E235"/>
    <mergeCell ref="E309:E310"/>
    <mergeCell ref="F234:F235"/>
    <mergeCell ref="F309:F310"/>
    <mergeCell ref="G53:G55"/>
    <mergeCell ref="I33:I34"/>
    <mergeCell ref="I40:I41"/>
    <mergeCell ref="I53:I55"/>
    <mergeCell ref="I60:I61"/>
    <mergeCell ref="I67:I68"/>
    <mergeCell ref="I74:I75"/>
    <mergeCell ref="I86:I87"/>
    <mergeCell ref="I88:I90"/>
    <mergeCell ref="I110:I111"/>
    <mergeCell ref="I114:I115"/>
    <mergeCell ref="I133:I134"/>
    <mergeCell ref="I174:I175"/>
    <mergeCell ref="I185:I186"/>
    <mergeCell ref="I234:I235"/>
    <mergeCell ref="I274:I275"/>
    <mergeCell ref="K110:K111"/>
    <mergeCell ref="N86:N87"/>
    <mergeCell ref="N110:N111"/>
    <mergeCell ref="N185:N186"/>
    <mergeCell ref="N278:N279"/>
    <mergeCell ref="N285:N286"/>
    <mergeCell ref="N309:N310"/>
    <mergeCell ref="N348:N349"/>
    <mergeCell ref="N435:N436"/>
    <mergeCell ref="O86:O87"/>
    <mergeCell ref="O110:O111"/>
    <mergeCell ref="O133:O134"/>
    <mergeCell ref="O185:O186"/>
    <mergeCell ref="O234:O235"/>
    <mergeCell ref="O278:O279"/>
    <mergeCell ref="O285:O286"/>
    <mergeCell ref="O309:O310"/>
    <mergeCell ref="O348:O349"/>
    <mergeCell ref="O435:O436"/>
    <mergeCell ref="P110:P111"/>
    <mergeCell ref="P114:P115"/>
    <mergeCell ref="P133:P134"/>
    <mergeCell ref="P185:P186"/>
    <mergeCell ref="P234:P235"/>
    <mergeCell ref="P278:P279"/>
    <mergeCell ref="P285:P286"/>
    <mergeCell ref="P309:P310"/>
    <mergeCell ref="P348:P349"/>
    <mergeCell ref="P435:P436"/>
    <mergeCell ref="Q89:Q90"/>
    <mergeCell ref="Q133:Q134"/>
    <mergeCell ref="R89:R90"/>
    <mergeCell ref="R133:R134"/>
  </mergeCells>
  <conditionalFormatting sqref="H4:I4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39"/>
  <sheetViews>
    <sheetView zoomScale="80" zoomScaleNormal="80" topLeftCell="A405" workbookViewId="0">
      <selection activeCell="H431" sqref="H431"/>
    </sheetView>
  </sheetViews>
  <sheetFormatPr defaultColWidth="8.96666666666667" defaultRowHeight="15.75"/>
  <cols>
    <col min="1" max="1" width="4.06666666666667" style="17" customWidth="1"/>
    <col min="2" max="2" width="11.0666666666667" style="17" customWidth="1"/>
    <col min="3" max="3" width="11.3416666666667" style="17" customWidth="1"/>
    <col min="4" max="4" width="16.0666666666667" style="17" customWidth="1"/>
    <col min="5" max="5" width="16.9583333333333" style="17" customWidth="1"/>
    <col min="6" max="6" width="19.775" style="17" customWidth="1"/>
    <col min="7" max="7" width="11.1333333333333" style="17" customWidth="1"/>
    <col min="8" max="8" width="5.56666666666667" style="17" customWidth="1"/>
    <col min="9" max="9" width="29.375" style="17" customWidth="1"/>
    <col min="10" max="11" width="16.9416666666667" style="17" customWidth="1"/>
    <col min="12" max="12" width="11.0666666666667" style="17" customWidth="1"/>
    <col min="13" max="13" width="5.56666666666667" style="17" customWidth="1"/>
    <col min="14" max="14" width="27.3416666666667" style="17" customWidth="1"/>
    <col min="15" max="16" width="24.1416666666667" style="17" customWidth="1"/>
    <col min="17" max="17" width="25.9416666666667" style="17" customWidth="1"/>
    <col min="18" max="18" width="21.1" style="17" customWidth="1"/>
    <col min="19" max="21" width="30.5666666666667" style="17" customWidth="1"/>
    <col min="22" max="22" width="5.56666666666667" style="17" customWidth="1"/>
    <col min="23" max="23" width="44.475" style="17" customWidth="1"/>
    <col min="24" max="16384" width="8.96666666666667" style="17"/>
  </cols>
  <sheetData>
    <row r="1" s="16" customFormat="1" ht="60" customHeight="1" spans="1:23">
      <c r="A1" s="22" t="s">
        <v>131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="17" customFormat="1" ht="47" customHeight="1" spans="1:23">
      <c r="A2" s="24" t="s">
        <v>132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7"/>
    </row>
    <row r="3" s="17" customFormat="1" ht="63" customHeight="1" spans="1:23">
      <c r="A3" s="28" t="s">
        <v>133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0" t="s">
        <v>134</v>
      </c>
      <c r="T3" s="30"/>
      <c r="U3" s="30"/>
      <c r="V3" s="29" t="s">
        <v>135</v>
      </c>
      <c r="W3" s="31"/>
    </row>
    <row r="4" s="17" customFormat="1" ht="47" customHeight="1" spans="1:23">
      <c r="A4" s="30" t="s">
        <v>136</v>
      </c>
      <c r="B4" s="32" t="s">
        <v>137</v>
      </c>
      <c r="C4" s="32" t="s">
        <v>138</v>
      </c>
      <c r="D4" s="32" t="s">
        <v>139</v>
      </c>
      <c r="E4" s="32" t="s">
        <v>140</v>
      </c>
      <c r="F4" s="32" t="s">
        <v>141</v>
      </c>
      <c r="G4" s="32" t="s">
        <v>142</v>
      </c>
      <c r="H4" s="33" t="s">
        <v>143</v>
      </c>
      <c r="I4" s="33" t="s">
        <v>4</v>
      </c>
      <c r="J4" s="32" t="s">
        <v>144</v>
      </c>
      <c r="K4" s="32" t="s">
        <v>145</v>
      </c>
      <c r="L4" s="32" t="s">
        <v>146</v>
      </c>
      <c r="M4" s="30" t="s">
        <v>147</v>
      </c>
      <c r="N4" s="32" t="s">
        <v>148</v>
      </c>
      <c r="O4" s="32" t="s">
        <v>149</v>
      </c>
      <c r="P4" s="32" t="s">
        <v>150</v>
      </c>
      <c r="Q4" s="32" t="s">
        <v>151</v>
      </c>
      <c r="R4" s="32" t="s">
        <v>152</v>
      </c>
      <c r="S4" s="30" t="s">
        <v>153</v>
      </c>
      <c r="T4" s="30" t="s">
        <v>154</v>
      </c>
      <c r="U4" s="30" t="s">
        <v>155</v>
      </c>
      <c r="V4" s="34" t="s">
        <v>156</v>
      </c>
      <c r="W4" s="32" t="s">
        <v>157</v>
      </c>
    </row>
    <row r="5" s="17" customFormat="1" ht="20" customHeight="1" spans="1:23">
      <c r="A5" s="35">
        <v>1</v>
      </c>
      <c r="B5" s="36">
        <v>45392</v>
      </c>
      <c r="C5" s="35" t="s">
        <v>158</v>
      </c>
      <c r="D5" s="35">
        <v>12345678911</v>
      </c>
      <c r="E5" s="35" t="s">
        <v>159</v>
      </c>
      <c r="F5" s="35" t="s">
        <v>160</v>
      </c>
      <c r="G5" s="35" t="s">
        <v>161</v>
      </c>
      <c r="H5" s="35" t="s">
        <v>162</v>
      </c>
      <c r="I5" s="35"/>
      <c r="J5" s="56">
        <v>45392.7916666667</v>
      </c>
      <c r="K5" s="56"/>
      <c r="L5" s="35" t="s">
        <v>164</v>
      </c>
      <c r="M5" s="35" t="s">
        <v>162</v>
      </c>
      <c r="N5" s="35" t="s">
        <v>165</v>
      </c>
      <c r="O5" s="35"/>
      <c r="P5" s="35"/>
      <c r="Q5" s="35"/>
      <c r="R5" s="35">
        <v>6800</v>
      </c>
      <c r="S5" s="39">
        <f>B5+7</f>
        <v>45399</v>
      </c>
      <c r="T5" s="39">
        <f>B5+15</f>
        <v>45407</v>
      </c>
      <c r="U5" s="39">
        <f>B5+30</f>
        <v>45422</v>
      </c>
      <c r="V5" s="39" t="s">
        <v>166</v>
      </c>
      <c r="W5" s="35"/>
    </row>
    <row r="6" s="17" customFormat="1" ht="20" customHeight="1" spans="1:23">
      <c r="A6" s="35">
        <v>2</v>
      </c>
      <c r="B6" s="36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9">
        <f>B6+7</f>
        <v>7</v>
      </c>
      <c r="T6" s="39">
        <f>B6+15</f>
        <v>15</v>
      </c>
      <c r="U6" s="39">
        <f>B6+30</f>
        <v>30</v>
      </c>
      <c r="V6" s="39"/>
      <c r="W6" s="35"/>
    </row>
    <row r="7" s="18" customFormat="1" ht="20" customHeight="1" spans="1:23">
      <c r="A7" s="41">
        <v>3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3"/>
      <c r="T7" s="43"/>
      <c r="U7" s="43"/>
      <c r="V7" s="43"/>
      <c r="W7" s="41"/>
    </row>
    <row r="8" s="17" customFormat="1" ht="20" customHeight="1" spans="1:23">
      <c r="A8" s="35">
        <v>4</v>
      </c>
      <c r="B8" s="36">
        <v>45918</v>
      </c>
      <c r="C8" s="35" t="s">
        <v>1206</v>
      </c>
      <c r="D8" s="35">
        <v>19032342046</v>
      </c>
      <c r="E8" s="35" t="s">
        <v>168</v>
      </c>
      <c r="F8" s="35" t="s">
        <v>189</v>
      </c>
      <c r="G8" s="35" t="s">
        <v>843</v>
      </c>
      <c r="H8" s="35" t="s">
        <v>162</v>
      </c>
      <c r="I8" s="35" t="s">
        <v>201</v>
      </c>
      <c r="J8" s="56">
        <v>45920.6666666667</v>
      </c>
      <c r="K8" s="56"/>
      <c r="L8" s="35" t="s">
        <v>164</v>
      </c>
      <c r="M8" s="35"/>
      <c r="N8" s="35" t="s">
        <v>249</v>
      </c>
      <c r="O8" s="35">
        <v>199</v>
      </c>
      <c r="P8" s="38" t="s">
        <v>1207</v>
      </c>
      <c r="Q8" s="35"/>
      <c r="R8" s="35"/>
      <c r="S8" s="39"/>
      <c r="T8" s="39"/>
      <c r="U8" s="39"/>
      <c r="V8" s="39"/>
      <c r="W8" s="35"/>
    </row>
    <row r="9" s="18" customFormat="1" ht="20" customHeight="1" spans="1:23">
      <c r="A9" s="35">
        <v>5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3"/>
      <c r="T9" s="43"/>
      <c r="U9" s="43"/>
      <c r="V9" s="43"/>
      <c r="W9" s="41"/>
    </row>
    <row r="10" s="17" customFormat="1" ht="47.25" spans="1:23">
      <c r="A10" s="35">
        <v>6</v>
      </c>
      <c r="B10" s="36">
        <v>45934</v>
      </c>
      <c r="C10" s="35" t="s">
        <v>1208</v>
      </c>
      <c r="D10" s="35">
        <v>13216666110</v>
      </c>
      <c r="E10" s="35" t="s">
        <v>168</v>
      </c>
      <c r="F10" s="35" t="s">
        <v>189</v>
      </c>
      <c r="G10" s="35" t="s">
        <v>1209</v>
      </c>
      <c r="H10" s="35" t="s">
        <v>162</v>
      </c>
      <c r="I10" s="35" t="s">
        <v>1210</v>
      </c>
      <c r="J10" s="56">
        <v>45937.53125</v>
      </c>
      <c r="K10" s="56" t="s">
        <v>171</v>
      </c>
      <c r="L10" s="35" t="s">
        <v>1209</v>
      </c>
      <c r="M10" s="35" t="s">
        <v>162</v>
      </c>
      <c r="N10" s="35" t="s">
        <v>1211</v>
      </c>
      <c r="O10" s="35">
        <v>199</v>
      </c>
      <c r="P10" s="38" t="s">
        <v>1212</v>
      </c>
      <c r="Q10" s="35" t="s">
        <v>1213</v>
      </c>
      <c r="R10" s="35">
        <v>4660</v>
      </c>
      <c r="S10" s="35"/>
      <c r="T10" s="35"/>
      <c r="U10" s="35"/>
      <c r="V10" s="35"/>
      <c r="W10" s="35"/>
    </row>
    <row r="11" s="17" customFormat="1" ht="20" customHeight="1" spans="1:23">
      <c r="A11" s="35">
        <v>7</v>
      </c>
      <c r="B11" s="36">
        <v>45943</v>
      </c>
      <c r="C11" s="35" t="s">
        <v>317</v>
      </c>
      <c r="D11" s="35">
        <v>15958288882</v>
      </c>
      <c r="E11" s="35" t="s">
        <v>168</v>
      </c>
      <c r="F11" s="35" t="s">
        <v>411</v>
      </c>
      <c r="G11" s="35" t="s">
        <v>843</v>
      </c>
      <c r="H11" s="35" t="s">
        <v>162</v>
      </c>
      <c r="I11" s="35"/>
      <c r="J11" s="56">
        <v>45945.7638888889</v>
      </c>
      <c r="K11" s="56" t="s">
        <v>196</v>
      </c>
      <c r="L11" s="35" t="s">
        <v>719</v>
      </c>
      <c r="M11" s="35"/>
      <c r="N11" s="35" t="s">
        <v>1214</v>
      </c>
      <c r="O11" s="35">
        <v>119</v>
      </c>
      <c r="P11" s="35">
        <v>3610920976</v>
      </c>
      <c r="Q11" s="35"/>
      <c r="R11" s="35"/>
      <c r="S11" s="39"/>
      <c r="T11" s="39"/>
      <c r="U11" s="39"/>
      <c r="V11" s="39"/>
      <c r="W11" s="35"/>
    </row>
    <row r="12" s="17" customFormat="1" ht="20" customHeight="1" spans="1:23">
      <c r="A12" s="35">
        <v>8</v>
      </c>
      <c r="B12" s="36">
        <v>45944</v>
      </c>
      <c r="C12" s="35" t="s">
        <v>1215</v>
      </c>
      <c r="D12" s="35">
        <v>15258182052</v>
      </c>
      <c r="E12" s="35" t="s">
        <v>168</v>
      </c>
      <c r="F12" s="35" t="s">
        <v>189</v>
      </c>
      <c r="G12" s="35" t="s">
        <v>248</v>
      </c>
      <c r="H12" s="35" t="s">
        <v>162</v>
      </c>
      <c r="I12" s="35"/>
      <c r="J12" s="56">
        <v>45948.5833333333</v>
      </c>
      <c r="K12" s="56" t="s">
        <v>1216</v>
      </c>
      <c r="L12" s="35" t="s">
        <v>248</v>
      </c>
      <c r="M12" s="35" t="s">
        <v>162</v>
      </c>
      <c r="N12" s="35" t="s">
        <v>203</v>
      </c>
      <c r="O12" s="35">
        <v>79</v>
      </c>
      <c r="P12" s="35">
        <v>9204583903</v>
      </c>
      <c r="Q12" s="35" t="s">
        <v>1213</v>
      </c>
      <c r="R12" s="35">
        <v>4660</v>
      </c>
      <c r="S12" s="39"/>
      <c r="T12" s="39"/>
      <c r="U12" s="39"/>
      <c r="V12" s="39"/>
      <c r="W12" s="35"/>
    </row>
    <row r="13" s="17" customFormat="1" ht="20" customHeight="1" spans="1:23">
      <c r="A13" s="35">
        <v>9</v>
      </c>
      <c r="B13" s="36">
        <v>45947</v>
      </c>
      <c r="C13" s="35" t="s">
        <v>1217</v>
      </c>
      <c r="D13" s="35">
        <v>15381972866</v>
      </c>
      <c r="E13" s="35" t="s">
        <v>168</v>
      </c>
      <c r="F13" s="35" t="s">
        <v>176</v>
      </c>
      <c r="G13" s="35" t="s">
        <v>843</v>
      </c>
      <c r="H13" s="35" t="s">
        <v>162</v>
      </c>
      <c r="I13" s="35"/>
      <c r="J13" s="56">
        <v>45951.7638888889</v>
      </c>
      <c r="K13" s="56" t="s">
        <v>801</v>
      </c>
      <c r="L13" s="35" t="s">
        <v>1218</v>
      </c>
      <c r="M13" s="35"/>
      <c r="N13" s="35" t="s">
        <v>335</v>
      </c>
      <c r="O13" s="35">
        <v>69</v>
      </c>
      <c r="P13" s="35">
        <v>1904861970</v>
      </c>
      <c r="Q13" s="35"/>
      <c r="R13" s="35"/>
      <c r="S13" s="39"/>
      <c r="T13" s="39"/>
      <c r="U13" s="39"/>
      <c r="V13" s="39"/>
      <c r="W13" s="35"/>
    </row>
    <row r="14" s="17" customFormat="1" ht="20" customHeight="1" spans="1:23">
      <c r="A14" s="35">
        <v>10</v>
      </c>
      <c r="B14" s="36">
        <v>45950</v>
      </c>
      <c r="C14" s="35" t="s">
        <v>1219</v>
      </c>
      <c r="D14" s="35">
        <v>15267849667</v>
      </c>
      <c r="E14" s="35" t="s">
        <v>168</v>
      </c>
      <c r="F14" s="35"/>
      <c r="G14" s="35" t="s">
        <v>1209</v>
      </c>
      <c r="H14" s="35" t="s">
        <v>200</v>
      </c>
      <c r="I14" s="35" t="s">
        <v>1220</v>
      </c>
      <c r="J14" s="56"/>
      <c r="K14" s="56"/>
      <c r="L14" s="35"/>
      <c r="M14" s="35"/>
      <c r="N14" s="35"/>
      <c r="O14" s="35"/>
      <c r="P14" s="35"/>
      <c r="Q14" s="35"/>
      <c r="R14" s="35"/>
      <c r="S14" s="39"/>
      <c r="T14" s="39"/>
      <c r="U14" s="39"/>
      <c r="V14" s="39"/>
    </row>
    <row r="15" s="17" customFormat="1" ht="20" customHeight="1" spans="1:23">
      <c r="A15" s="35">
        <v>11</v>
      </c>
      <c r="B15" s="36">
        <v>45950</v>
      </c>
      <c r="C15" s="35" t="s">
        <v>1221</v>
      </c>
      <c r="D15" s="35">
        <v>18668566857</v>
      </c>
      <c r="E15" s="35" t="s">
        <v>168</v>
      </c>
      <c r="F15" s="35" t="s">
        <v>1222</v>
      </c>
      <c r="G15" s="35" t="s">
        <v>248</v>
      </c>
      <c r="H15" s="35" t="s">
        <v>162</v>
      </c>
      <c r="I15" s="35" t="s">
        <v>1220</v>
      </c>
      <c r="J15" s="56">
        <v>45952.5069444444</v>
      </c>
      <c r="K15" s="56" t="s">
        <v>171</v>
      </c>
      <c r="L15" s="35" t="s">
        <v>843</v>
      </c>
      <c r="M15" s="35" t="s">
        <v>162</v>
      </c>
      <c r="N15" s="35" t="s">
        <v>203</v>
      </c>
      <c r="O15" s="35">
        <v>79</v>
      </c>
      <c r="P15" s="35">
        <v>6877169684</v>
      </c>
      <c r="Q15" s="35" t="s">
        <v>1223</v>
      </c>
      <c r="R15" s="35">
        <v>1946</v>
      </c>
      <c r="S15" s="39"/>
      <c r="T15" s="39"/>
      <c r="U15" s="39"/>
      <c r="V15" s="39"/>
    </row>
    <row r="16" s="17" customFormat="1" ht="20" customHeight="1" spans="1:23">
      <c r="A16" s="35">
        <v>12</v>
      </c>
      <c r="B16" s="36">
        <v>45950</v>
      </c>
      <c r="C16" s="35" t="s">
        <v>1224</v>
      </c>
      <c r="D16" s="35">
        <v>18067165085</v>
      </c>
      <c r="E16" s="35" t="s">
        <v>168</v>
      </c>
      <c r="F16" s="35" t="s">
        <v>267</v>
      </c>
      <c r="G16" s="35" t="s">
        <v>843</v>
      </c>
      <c r="H16" s="35" t="s">
        <v>200</v>
      </c>
      <c r="I16" s="35" t="s">
        <v>366</v>
      </c>
      <c r="J16" s="56"/>
      <c r="K16" s="56"/>
      <c r="L16" s="35"/>
      <c r="M16" s="35"/>
      <c r="N16" s="35"/>
      <c r="O16" s="35"/>
      <c r="P16" s="35"/>
      <c r="Q16" s="35"/>
      <c r="R16" s="35"/>
      <c r="S16" s="39"/>
      <c r="T16" s="39"/>
      <c r="U16" s="39"/>
      <c r="V16" s="39"/>
    </row>
    <row r="17" s="17" customFormat="1" ht="20" customHeight="1" spans="1:23">
      <c r="A17" s="35">
        <v>13</v>
      </c>
      <c r="B17" s="36">
        <v>45954</v>
      </c>
      <c r="C17" s="35" t="s">
        <v>317</v>
      </c>
      <c r="D17" s="35">
        <v>15958288882</v>
      </c>
      <c r="E17" s="35" t="s">
        <v>168</v>
      </c>
      <c r="F17" s="35" t="s">
        <v>411</v>
      </c>
      <c r="G17" s="35" t="s">
        <v>843</v>
      </c>
      <c r="H17" s="35" t="s">
        <v>162</v>
      </c>
      <c r="I17" s="35"/>
      <c r="J17" s="56">
        <v>45954.5</v>
      </c>
      <c r="K17" s="56" t="s">
        <v>171</v>
      </c>
      <c r="L17" s="35" t="s">
        <v>264</v>
      </c>
      <c r="M17" s="35"/>
      <c r="N17" s="35" t="s">
        <v>203</v>
      </c>
      <c r="O17" s="35">
        <v>79</v>
      </c>
      <c r="P17" s="35">
        <v>4748490494</v>
      </c>
      <c r="Q17" s="35"/>
      <c r="R17" s="35"/>
      <c r="S17" s="39"/>
      <c r="T17" s="39"/>
      <c r="U17" s="39"/>
      <c r="V17" s="39"/>
      <c r="W17" s="35"/>
    </row>
    <row r="18" s="17" customFormat="1" ht="20" customHeight="1" spans="1:23">
      <c r="A18" s="35">
        <v>14</v>
      </c>
      <c r="B18" s="36">
        <v>45954</v>
      </c>
      <c r="C18" s="35" t="s">
        <v>319</v>
      </c>
      <c r="D18" s="35">
        <v>15990259988</v>
      </c>
      <c r="E18" s="35" t="s">
        <v>168</v>
      </c>
      <c r="F18" s="35" t="s">
        <v>411</v>
      </c>
      <c r="G18" s="35" t="s">
        <v>843</v>
      </c>
      <c r="H18" s="35" t="s">
        <v>162</v>
      </c>
      <c r="I18" s="35"/>
      <c r="J18" s="56">
        <v>45954.5</v>
      </c>
      <c r="K18" s="56" t="s">
        <v>171</v>
      </c>
      <c r="L18" s="35" t="s">
        <v>264</v>
      </c>
      <c r="M18" s="35"/>
      <c r="N18" s="35" t="s">
        <v>203</v>
      </c>
      <c r="O18" s="35">
        <v>79</v>
      </c>
      <c r="P18" s="121" t="s">
        <v>1225</v>
      </c>
      <c r="Q18" s="35"/>
      <c r="R18" s="35"/>
      <c r="S18" s="39"/>
      <c r="T18" s="39"/>
      <c r="U18" s="39"/>
      <c r="V18" s="39"/>
      <c r="W18" s="35"/>
    </row>
    <row r="19" s="17" customFormat="1" ht="20" customHeight="1" spans="1:23">
      <c r="A19" s="35">
        <v>15</v>
      </c>
      <c r="B19" s="36">
        <v>45959</v>
      </c>
      <c r="C19" s="35" t="s">
        <v>1226</v>
      </c>
      <c r="D19" s="35"/>
      <c r="E19" s="35" t="s">
        <v>168</v>
      </c>
      <c r="F19" s="35" t="s">
        <v>1227</v>
      </c>
      <c r="G19" s="35" t="s">
        <v>1209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9"/>
      <c r="T19" s="39"/>
      <c r="U19" s="39"/>
      <c r="V19" s="39"/>
      <c r="W19" s="35"/>
    </row>
    <row r="20" s="17" customFormat="1" ht="45" customHeight="1" spans="1:23">
      <c r="A20" s="35">
        <v>16</v>
      </c>
      <c r="B20" s="36">
        <v>45961</v>
      </c>
      <c r="C20" s="35" t="s">
        <v>1228</v>
      </c>
      <c r="D20" s="35">
        <v>15921552731</v>
      </c>
      <c r="E20" s="35" t="s">
        <v>168</v>
      </c>
      <c r="F20" s="35" t="s">
        <v>1222</v>
      </c>
      <c r="G20" s="35" t="s">
        <v>248</v>
      </c>
      <c r="H20" s="35" t="s">
        <v>162</v>
      </c>
      <c r="I20" s="35"/>
      <c r="J20" s="56">
        <v>45961.7638888889</v>
      </c>
      <c r="K20" s="56" t="s">
        <v>289</v>
      </c>
      <c r="L20" s="35" t="s">
        <v>1229</v>
      </c>
      <c r="M20" s="35"/>
      <c r="N20" s="35" t="s">
        <v>1211</v>
      </c>
      <c r="O20" s="35">
        <v>199</v>
      </c>
      <c r="P20" s="38" t="s">
        <v>1230</v>
      </c>
      <c r="Q20" s="35"/>
      <c r="R20" s="35"/>
      <c r="S20" s="39"/>
      <c r="T20" s="39"/>
      <c r="U20" s="39"/>
      <c r="V20" s="39"/>
      <c r="W20" s="35"/>
    </row>
    <row r="21" s="17" customFormat="1" ht="45" customHeight="1" spans="1:23">
      <c r="A21" s="35">
        <v>17</v>
      </c>
      <c r="B21" s="36">
        <v>45961</v>
      </c>
      <c r="C21" s="35" t="s">
        <v>1231</v>
      </c>
      <c r="D21" s="35">
        <v>15639888331</v>
      </c>
      <c r="E21" s="35" t="s">
        <v>168</v>
      </c>
      <c r="F21" s="35" t="s">
        <v>1222</v>
      </c>
      <c r="G21" s="35" t="s">
        <v>248</v>
      </c>
      <c r="H21" s="35" t="s">
        <v>162</v>
      </c>
      <c r="I21" s="35"/>
      <c r="J21" s="56">
        <v>45961.7638888889</v>
      </c>
      <c r="K21" s="56" t="s">
        <v>289</v>
      </c>
      <c r="L21" s="35" t="s">
        <v>1229</v>
      </c>
      <c r="M21" s="35"/>
      <c r="N21" s="35" t="s">
        <v>1211</v>
      </c>
      <c r="O21" s="35">
        <v>199</v>
      </c>
      <c r="P21" s="38" t="s">
        <v>1232</v>
      </c>
      <c r="Q21" s="35"/>
      <c r="R21" s="35"/>
      <c r="S21" s="39"/>
      <c r="T21" s="39"/>
      <c r="U21" s="39"/>
      <c r="V21" s="39"/>
      <c r="W21" s="35"/>
    </row>
    <row r="22" s="17" customFormat="1" ht="45" customHeight="1" spans="1:23">
      <c r="A22" s="35">
        <v>18</v>
      </c>
      <c r="B22" s="36">
        <v>45961</v>
      </c>
      <c r="C22" s="35" t="s">
        <v>344</v>
      </c>
      <c r="D22" s="35">
        <v>15168153403</v>
      </c>
      <c r="E22" s="35" t="s">
        <v>168</v>
      </c>
      <c r="F22" s="35" t="s">
        <v>1222</v>
      </c>
      <c r="G22" s="35" t="s">
        <v>248</v>
      </c>
      <c r="H22" s="35" t="s">
        <v>162</v>
      </c>
      <c r="I22" s="35"/>
      <c r="J22" s="56">
        <v>45961.7638888889</v>
      </c>
      <c r="K22" s="56" t="s">
        <v>289</v>
      </c>
      <c r="L22" s="35" t="s">
        <v>1229</v>
      </c>
      <c r="M22" s="35"/>
      <c r="N22" s="35" t="s">
        <v>1211</v>
      </c>
      <c r="O22" s="35">
        <v>199</v>
      </c>
      <c r="P22" s="38" t="s">
        <v>1233</v>
      </c>
      <c r="Q22" s="35"/>
      <c r="R22" s="35"/>
      <c r="S22" s="39"/>
      <c r="T22" s="39"/>
      <c r="U22" s="39"/>
      <c r="V22" s="39"/>
      <c r="W22" s="35"/>
    </row>
    <row r="23" s="20" customFormat="1" ht="20" customHeight="1" spans="1:23">
      <c r="A23" s="53">
        <v>19</v>
      </c>
      <c r="B23" s="57"/>
      <c r="C23" s="53"/>
      <c r="D23" s="53"/>
      <c r="E23" s="53"/>
      <c r="F23" s="54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8"/>
      <c r="T23" s="58"/>
      <c r="U23" s="58"/>
      <c r="V23" s="58"/>
      <c r="W23" s="53"/>
    </row>
    <row r="24" s="17" customFormat="1" ht="20" customHeight="1" spans="1:23">
      <c r="A24" s="35">
        <v>20</v>
      </c>
      <c r="B24" s="36">
        <v>45963</v>
      </c>
      <c r="C24" s="35" t="s">
        <v>1234</v>
      </c>
      <c r="D24" s="35">
        <v>13024713100</v>
      </c>
      <c r="E24" s="35" t="s">
        <v>396</v>
      </c>
      <c r="F24" s="35" t="s">
        <v>1235</v>
      </c>
      <c r="G24" s="35" t="s">
        <v>1236</v>
      </c>
      <c r="H24" s="35" t="s">
        <v>162</v>
      </c>
      <c r="I24" s="51" t="s">
        <v>263</v>
      </c>
      <c r="J24" s="56">
        <v>45963.7222222222</v>
      </c>
      <c r="K24" s="56" t="s">
        <v>678</v>
      </c>
      <c r="L24" s="35" t="s">
        <v>177</v>
      </c>
      <c r="M24" s="35"/>
      <c r="N24" s="35" t="s">
        <v>1211</v>
      </c>
      <c r="O24" s="35">
        <v>89</v>
      </c>
      <c r="P24" s="38">
        <v>7725744705</v>
      </c>
      <c r="Q24" s="35"/>
      <c r="R24" s="35"/>
      <c r="S24" s="39"/>
      <c r="T24" s="39"/>
      <c r="U24" s="39"/>
      <c r="V24" s="39"/>
      <c r="W24" s="35"/>
    </row>
    <row r="25" s="17" customFormat="1" ht="20" customHeight="1" spans="1:23">
      <c r="A25" s="35">
        <v>21</v>
      </c>
      <c r="B25" s="36">
        <v>45963</v>
      </c>
      <c r="C25" s="35" t="s">
        <v>1237</v>
      </c>
      <c r="D25" s="35">
        <v>13522069900</v>
      </c>
      <c r="E25" s="35" t="s">
        <v>396</v>
      </c>
      <c r="F25" s="35" t="s">
        <v>1235</v>
      </c>
      <c r="G25" s="35" t="s">
        <v>1236</v>
      </c>
      <c r="H25" s="35" t="s">
        <v>162</v>
      </c>
      <c r="I25" s="52"/>
      <c r="J25" s="56">
        <v>45963.7222222222</v>
      </c>
      <c r="K25" s="56" t="s">
        <v>678</v>
      </c>
      <c r="L25" s="35" t="s">
        <v>177</v>
      </c>
      <c r="M25" s="35"/>
      <c r="N25" s="35" t="s">
        <v>1211</v>
      </c>
      <c r="O25" s="35">
        <v>89</v>
      </c>
      <c r="P25" s="35">
        <v>7519460614</v>
      </c>
      <c r="Q25" s="35"/>
      <c r="R25" s="35"/>
      <c r="S25" s="39"/>
      <c r="T25" s="39"/>
      <c r="U25" s="39"/>
      <c r="V25" s="39"/>
      <c r="W25" s="35"/>
    </row>
    <row r="26" s="17" customFormat="1" ht="20" customHeight="1" spans="1:23">
      <c r="A26" s="35">
        <v>22</v>
      </c>
      <c r="B26" s="36">
        <v>45967</v>
      </c>
      <c r="C26" s="35" t="s">
        <v>1238</v>
      </c>
      <c r="D26" s="35">
        <v>13566047747</v>
      </c>
      <c r="E26" s="35" t="s">
        <v>168</v>
      </c>
      <c r="F26" s="35" t="s">
        <v>189</v>
      </c>
      <c r="G26" s="35"/>
      <c r="H26" s="35" t="s">
        <v>200</v>
      </c>
      <c r="I26" s="35"/>
      <c r="J26" s="56"/>
      <c r="K26" s="56"/>
      <c r="L26" s="35"/>
      <c r="M26" s="35"/>
      <c r="N26" s="51"/>
      <c r="O26" s="51"/>
      <c r="P26" s="35"/>
      <c r="Q26" s="35"/>
      <c r="R26" s="35"/>
      <c r="S26" s="39"/>
      <c r="T26" s="39"/>
      <c r="U26" s="39"/>
      <c r="V26" s="39"/>
      <c r="W26" s="35"/>
    </row>
    <row r="27" s="17" customFormat="1" ht="20" customHeight="1" spans="1:23">
      <c r="A27" s="35">
        <v>23</v>
      </c>
      <c r="B27" s="36">
        <v>45969</v>
      </c>
      <c r="C27" s="35" t="s">
        <v>1239</v>
      </c>
      <c r="D27" s="35">
        <v>15088839871</v>
      </c>
      <c r="E27" s="35" t="s">
        <v>315</v>
      </c>
      <c r="F27" s="35" t="s">
        <v>189</v>
      </c>
      <c r="G27" s="35" t="s">
        <v>1229</v>
      </c>
      <c r="H27" s="35" t="s">
        <v>162</v>
      </c>
      <c r="I27" s="35"/>
      <c r="J27" s="56">
        <v>45975.8194444444</v>
      </c>
      <c r="K27" s="56" t="s">
        <v>196</v>
      </c>
      <c r="L27" s="35" t="s">
        <v>1209</v>
      </c>
      <c r="M27" s="35" t="s">
        <v>162</v>
      </c>
      <c r="N27" s="59" t="s">
        <v>1240</v>
      </c>
      <c r="O27" s="60"/>
      <c r="P27" s="35"/>
      <c r="Q27" s="35" t="s">
        <v>443</v>
      </c>
      <c r="R27" s="35">
        <v>3560</v>
      </c>
      <c r="S27" s="39"/>
      <c r="T27" s="39"/>
      <c r="U27" s="39"/>
      <c r="V27" s="39"/>
      <c r="W27" s="35"/>
    </row>
    <row r="28" s="17" customFormat="1" ht="40" customHeight="1" spans="1:23">
      <c r="A28" s="35">
        <v>24</v>
      </c>
      <c r="B28" s="61">
        <v>45969</v>
      </c>
      <c r="C28" s="51" t="s">
        <v>302</v>
      </c>
      <c r="D28" s="51">
        <v>18368405347</v>
      </c>
      <c r="E28" s="51" t="s">
        <v>315</v>
      </c>
      <c r="F28" s="51" t="s">
        <v>189</v>
      </c>
      <c r="G28" s="17"/>
      <c r="H28" s="51" t="s">
        <v>200</v>
      </c>
      <c r="I28" s="51"/>
      <c r="J28" s="56"/>
      <c r="K28" s="56"/>
      <c r="L28" s="35"/>
      <c r="M28" s="35"/>
      <c r="N28" s="52"/>
      <c r="O28" s="52"/>
      <c r="P28" s="35"/>
      <c r="Q28" s="38"/>
      <c r="R28" s="35"/>
      <c r="S28" s="39"/>
      <c r="T28" s="39"/>
      <c r="U28" s="39"/>
      <c r="V28" s="39"/>
      <c r="W28" s="35"/>
    </row>
    <row r="29" s="17" customFormat="1" ht="40" customHeight="1" spans="1:23">
      <c r="A29" s="35">
        <v>25</v>
      </c>
      <c r="B29" s="61">
        <v>45972</v>
      </c>
      <c r="C29" s="35" t="s">
        <v>1241</v>
      </c>
      <c r="D29" s="35"/>
      <c r="E29" s="35" t="s">
        <v>159</v>
      </c>
      <c r="F29" s="35" t="s">
        <v>189</v>
      </c>
      <c r="G29" s="35"/>
      <c r="H29" s="35" t="s">
        <v>200</v>
      </c>
      <c r="I29" s="35" t="s">
        <v>1242</v>
      </c>
      <c r="J29" s="56"/>
      <c r="K29" s="56"/>
      <c r="L29" s="35"/>
      <c r="M29" s="35"/>
      <c r="N29" s="35"/>
      <c r="O29" s="35"/>
      <c r="P29" s="35"/>
      <c r="Q29" s="38"/>
      <c r="R29" s="35"/>
      <c r="S29" s="39"/>
      <c r="T29" s="39"/>
      <c r="U29" s="39"/>
      <c r="V29" s="39"/>
      <c r="W29" s="35"/>
    </row>
    <row r="30" s="17" customFormat="1" ht="38" customHeight="1" spans="1:23">
      <c r="A30" s="35">
        <v>26</v>
      </c>
      <c r="B30" s="61">
        <v>45974</v>
      </c>
      <c r="C30" s="35" t="s">
        <v>1243</v>
      </c>
      <c r="D30" s="35">
        <v>18951653755</v>
      </c>
      <c r="E30" s="35" t="s">
        <v>168</v>
      </c>
      <c r="F30" s="35" t="s">
        <v>189</v>
      </c>
      <c r="G30" s="35" t="s">
        <v>719</v>
      </c>
      <c r="H30" s="35" t="s">
        <v>162</v>
      </c>
      <c r="I30" s="35"/>
      <c r="J30" s="56">
        <v>45975.7638888889</v>
      </c>
      <c r="K30" s="56" t="s">
        <v>1244</v>
      </c>
      <c r="L30" s="35" t="s">
        <v>211</v>
      </c>
      <c r="M30" s="35" t="s">
        <v>162</v>
      </c>
      <c r="N30" s="38" t="s">
        <v>335</v>
      </c>
      <c r="O30" s="35">
        <v>69</v>
      </c>
      <c r="P30" s="121" t="s">
        <v>1245</v>
      </c>
      <c r="Q30" s="35" t="s">
        <v>1246</v>
      </c>
      <c r="R30" s="35">
        <v>1111</v>
      </c>
      <c r="S30" s="39"/>
      <c r="T30" s="39"/>
      <c r="U30" s="39"/>
      <c r="V30" s="39"/>
      <c r="W30" s="35"/>
    </row>
    <row r="31" s="17" customFormat="1" ht="20" customHeight="1" spans="1:23">
      <c r="A31" s="35">
        <v>27</v>
      </c>
      <c r="B31" s="61">
        <v>45978</v>
      </c>
      <c r="C31" s="35" t="s">
        <v>397</v>
      </c>
      <c r="D31" s="35">
        <v>13666731777</v>
      </c>
      <c r="E31" s="35" t="s">
        <v>168</v>
      </c>
      <c r="F31" s="35" t="s">
        <v>189</v>
      </c>
      <c r="G31" s="35" t="s">
        <v>843</v>
      </c>
      <c r="H31" s="35" t="s">
        <v>200</v>
      </c>
      <c r="I31" s="35" t="s">
        <v>366</v>
      </c>
      <c r="J31" s="56">
        <v>45979.8194444444</v>
      </c>
      <c r="K31" s="56" t="s">
        <v>171</v>
      </c>
      <c r="L31" s="35" t="s">
        <v>1247</v>
      </c>
      <c r="M31" s="35"/>
      <c r="N31" s="35"/>
      <c r="O31" s="35"/>
      <c r="P31" s="35"/>
      <c r="Q31" s="35"/>
      <c r="R31" s="35"/>
      <c r="S31" s="39"/>
      <c r="T31" s="39"/>
      <c r="U31" s="39"/>
      <c r="V31" s="39"/>
      <c r="W31" s="35"/>
    </row>
    <row r="32" s="17" customFormat="1" ht="46" customHeight="1" spans="1:23">
      <c r="A32" s="35">
        <v>28</v>
      </c>
      <c r="B32" s="61">
        <v>45979</v>
      </c>
      <c r="C32" s="35" t="s">
        <v>1248</v>
      </c>
      <c r="D32" s="35">
        <v>15267858020</v>
      </c>
      <c r="E32" s="35" t="s">
        <v>168</v>
      </c>
      <c r="F32" s="35" t="s">
        <v>189</v>
      </c>
      <c r="G32" s="35" t="s">
        <v>1209</v>
      </c>
      <c r="H32" s="35" t="s">
        <v>162</v>
      </c>
      <c r="I32" s="35"/>
      <c r="J32" s="56">
        <v>45981.5069444444</v>
      </c>
      <c r="K32" s="56" t="s">
        <v>196</v>
      </c>
      <c r="L32" s="35" t="s">
        <v>1209</v>
      </c>
      <c r="M32" s="35"/>
      <c r="N32" s="38" t="s">
        <v>1249</v>
      </c>
      <c r="O32" s="35" t="s">
        <v>1250</v>
      </c>
      <c r="P32" s="122" t="s">
        <v>1251</v>
      </c>
      <c r="Q32" s="35"/>
      <c r="R32" s="35"/>
      <c r="S32" s="39"/>
      <c r="T32" s="39"/>
      <c r="U32" s="39"/>
      <c r="V32" s="39"/>
      <c r="W32" s="35"/>
    </row>
    <row r="33" s="17" customFormat="1" ht="72" customHeight="1" spans="1:23">
      <c r="A33" s="35">
        <v>29</v>
      </c>
      <c r="B33" s="61">
        <v>45989</v>
      </c>
      <c r="C33" s="35" t="s">
        <v>1252</v>
      </c>
      <c r="D33" s="35"/>
      <c r="E33" s="35" t="s">
        <v>543</v>
      </c>
      <c r="F33" s="35" t="s">
        <v>189</v>
      </c>
      <c r="G33" s="35" t="s">
        <v>1209</v>
      </c>
      <c r="H33" s="35" t="s">
        <v>162</v>
      </c>
      <c r="I33" s="62"/>
      <c r="J33" s="56">
        <v>45989.5069444444</v>
      </c>
      <c r="K33" s="56" t="s">
        <v>244</v>
      </c>
      <c r="L33" s="35" t="s">
        <v>1218</v>
      </c>
      <c r="M33" s="35"/>
      <c r="N33" s="35" t="s">
        <v>1253</v>
      </c>
      <c r="O33" s="35">
        <v>99</v>
      </c>
      <c r="P33" s="122" t="s">
        <v>1254</v>
      </c>
      <c r="Q33" s="35"/>
      <c r="R33" s="35"/>
      <c r="S33" s="39"/>
      <c r="T33" s="39"/>
      <c r="U33" s="39"/>
      <c r="V33" s="39"/>
      <c r="W33" s="35"/>
    </row>
    <row r="34" s="17" customFormat="1" ht="72" customHeight="1" spans="1:23">
      <c r="A34" s="35">
        <v>30</v>
      </c>
      <c r="B34" s="61">
        <v>45979</v>
      </c>
      <c r="C34" s="35" t="s">
        <v>1255</v>
      </c>
      <c r="D34" s="35">
        <v>18715267176</v>
      </c>
      <c r="E34" s="35" t="s">
        <v>168</v>
      </c>
      <c r="F34" s="35" t="s">
        <v>189</v>
      </c>
      <c r="G34" s="35" t="s">
        <v>248</v>
      </c>
      <c r="H34" s="35" t="s">
        <v>162</v>
      </c>
      <c r="I34" s="62"/>
      <c r="J34" s="56">
        <v>45979.7222222222</v>
      </c>
      <c r="K34" s="56" t="s">
        <v>171</v>
      </c>
      <c r="L34" s="35" t="s">
        <v>1209</v>
      </c>
      <c r="M34" s="35" t="s">
        <v>162</v>
      </c>
      <c r="N34" s="35" t="s">
        <v>1211</v>
      </c>
      <c r="O34" s="35">
        <v>199</v>
      </c>
      <c r="P34" s="38" t="s">
        <v>1256</v>
      </c>
      <c r="Q34" s="35" t="s">
        <v>443</v>
      </c>
      <c r="R34" s="35">
        <v>3560</v>
      </c>
      <c r="S34" s="39"/>
      <c r="T34" s="39"/>
      <c r="U34" s="39"/>
      <c r="V34" s="39"/>
      <c r="W34" s="35"/>
    </row>
    <row r="35" s="17" customFormat="1" ht="20" customHeight="1" spans="1:23">
      <c r="A35" s="35">
        <v>31</v>
      </c>
      <c r="B35" s="36"/>
      <c r="C35" s="35"/>
      <c r="D35" s="35"/>
      <c r="E35" s="35"/>
      <c r="F35" s="35"/>
      <c r="G35" s="35" t="s">
        <v>1236</v>
      </c>
      <c r="H35" s="35"/>
      <c r="I35" s="35" t="s">
        <v>1257</v>
      </c>
      <c r="J35" s="56"/>
      <c r="K35" s="56"/>
      <c r="L35" s="35"/>
      <c r="M35" s="35"/>
      <c r="N35" s="35"/>
      <c r="O35" s="35"/>
      <c r="P35" s="35"/>
      <c r="Q35" s="35"/>
      <c r="R35" s="35"/>
      <c r="S35" s="39"/>
      <c r="T35" s="39"/>
      <c r="U35" s="39"/>
      <c r="V35" s="39"/>
      <c r="W35" s="35"/>
    </row>
    <row r="36" s="17" customFormat="1" ht="20" customHeight="1" spans="1:23">
      <c r="A36" s="35">
        <v>32</v>
      </c>
      <c r="B36" s="36"/>
      <c r="C36" s="35"/>
      <c r="D36" s="35"/>
      <c r="E36" s="35"/>
      <c r="F36" s="35"/>
      <c r="G36" s="35" t="s">
        <v>1229</v>
      </c>
      <c r="H36" s="35"/>
      <c r="I36" s="35" t="s">
        <v>1258</v>
      </c>
      <c r="J36" s="56"/>
      <c r="K36" s="56"/>
      <c r="L36" s="35"/>
      <c r="M36" s="35"/>
      <c r="N36" s="35"/>
      <c r="O36" s="35"/>
      <c r="P36" s="35"/>
      <c r="Q36" s="35"/>
      <c r="R36" s="35"/>
      <c r="S36" s="39"/>
      <c r="T36" s="39"/>
      <c r="U36" s="39"/>
      <c r="V36" s="39"/>
      <c r="W36" s="35"/>
    </row>
    <row r="37" s="17" customFormat="1" ht="20" customHeight="1" spans="1:23">
      <c r="A37" s="35">
        <v>33</v>
      </c>
      <c r="B37" s="61">
        <v>45979</v>
      </c>
      <c r="C37" s="35" t="s">
        <v>302</v>
      </c>
      <c r="D37" s="35">
        <v>18368405347</v>
      </c>
      <c r="E37" s="35" t="s">
        <v>168</v>
      </c>
      <c r="F37" s="35" t="s">
        <v>189</v>
      </c>
      <c r="G37" s="35" t="s">
        <v>719</v>
      </c>
      <c r="H37" s="35" t="s">
        <v>162</v>
      </c>
      <c r="I37" s="35" t="s">
        <v>1259</v>
      </c>
      <c r="J37" s="56">
        <v>45989.5069444444</v>
      </c>
      <c r="K37" s="56" t="s">
        <v>244</v>
      </c>
      <c r="L37" s="35" t="s">
        <v>1218</v>
      </c>
      <c r="M37" s="35"/>
      <c r="N37" s="35" t="s">
        <v>1253</v>
      </c>
      <c r="O37" s="35">
        <v>99</v>
      </c>
      <c r="P37" s="121" t="s">
        <v>1260</v>
      </c>
      <c r="Q37" s="35"/>
      <c r="R37" s="35"/>
      <c r="S37" s="39"/>
      <c r="T37" s="39"/>
      <c r="U37" s="39"/>
      <c r="V37" s="39"/>
      <c r="W37" s="35"/>
    </row>
    <row r="38" s="17" customFormat="1" ht="20" customHeight="1" spans="1:23">
      <c r="A38" s="35">
        <v>34</v>
      </c>
      <c r="B38" s="61">
        <v>45982</v>
      </c>
      <c r="C38" s="35" t="s">
        <v>1261</v>
      </c>
      <c r="D38" s="35">
        <v>15057414589</v>
      </c>
      <c r="E38" s="35" t="s">
        <v>168</v>
      </c>
      <c r="F38" s="35" t="s">
        <v>169</v>
      </c>
      <c r="G38" s="35"/>
      <c r="H38" s="35" t="s">
        <v>200</v>
      </c>
      <c r="I38" s="35"/>
      <c r="J38" s="56"/>
      <c r="K38" s="56"/>
      <c r="L38" s="35"/>
      <c r="M38" s="35"/>
      <c r="N38" s="35"/>
      <c r="O38" s="35"/>
      <c r="P38" s="35"/>
      <c r="Q38" s="35"/>
      <c r="R38" s="35"/>
      <c r="S38" s="39"/>
      <c r="T38" s="39"/>
      <c r="U38" s="39"/>
      <c r="V38" s="39"/>
      <c r="W38" s="35"/>
    </row>
    <row r="39" s="17" customFormat="1" ht="20" customHeight="1" spans="1:23">
      <c r="A39" s="35">
        <v>35</v>
      </c>
      <c r="B39" s="61">
        <v>45982</v>
      </c>
      <c r="C39" s="35" t="s">
        <v>1262</v>
      </c>
      <c r="D39" s="35">
        <v>13588386305</v>
      </c>
      <c r="E39" s="35" t="s">
        <v>168</v>
      </c>
      <c r="F39" s="35" t="s">
        <v>189</v>
      </c>
      <c r="G39" s="35"/>
      <c r="H39" s="35" t="s">
        <v>200</v>
      </c>
      <c r="I39" s="35"/>
      <c r="J39" s="56"/>
      <c r="K39" s="56"/>
      <c r="L39" s="35"/>
      <c r="M39" s="35"/>
      <c r="N39" s="35"/>
      <c r="O39" s="35"/>
      <c r="P39" s="35"/>
      <c r="Q39" s="35"/>
      <c r="R39" s="35"/>
      <c r="S39" s="39"/>
      <c r="T39" s="39"/>
      <c r="U39" s="39"/>
      <c r="V39" s="39"/>
      <c r="W39" s="35"/>
    </row>
    <row r="40" s="17" customFormat="1" ht="20" customHeight="1" spans="1:23">
      <c r="A40" s="35">
        <v>36</v>
      </c>
      <c r="B40" s="61">
        <v>45982</v>
      </c>
      <c r="C40" s="35" t="s">
        <v>1263</v>
      </c>
      <c r="D40" s="35">
        <v>15170855551</v>
      </c>
      <c r="E40" s="35" t="s">
        <v>195</v>
      </c>
      <c r="F40" s="35" t="s">
        <v>169</v>
      </c>
      <c r="G40" s="35" t="s">
        <v>719</v>
      </c>
      <c r="H40" s="35" t="s">
        <v>162</v>
      </c>
      <c r="I40" s="35" t="s">
        <v>474</v>
      </c>
      <c r="J40" s="56">
        <v>45984.5625</v>
      </c>
      <c r="K40" s="35" t="s">
        <v>296</v>
      </c>
      <c r="L40" s="35" t="s">
        <v>843</v>
      </c>
      <c r="M40" s="35"/>
      <c r="N40" s="35"/>
      <c r="O40" s="35"/>
      <c r="P40" s="35"/>
      <c r="Q40" s="35"/>
      <c r="R40" s="35"/>
      <c r="S40" s="39"/>
      <c r="T40" s="39"/>
      <c r="U40" s="39"/>
      <c r="V40" s="39"/>
      <c r="W40" s="35"/>
    </row>
    <row r="41" s="17" customFormat="1" ht="20" customHeight="1" spans="1:23">
      <c r="A41" s="35">
        <v>37</v>
      </c>
      <c r="B41" s="61">
        <v>45984</v>
      </c>
      <c r="C41" s="35" t="s">
        <v>1264</v>
      </c>
      <c r="D41" s="35">
        <v>15728009443</v>
      </c>
      <c r="E41" s="35" t="s">
        <v>168</v>
      </c>
      <c r="F41" s="35" t="s">
        <v>1265</v>
      </c>
      <c r="G41" s="35" t="s">
        <v>248</v>
      </c>
      <c r="H41" s="35" t="s">
        <v>162</v>
      </c>
      <c r="I41" s="35" t="s">
        <v>1266</v>
      </c>
      <c r="J41" s="56"/>
      <c r="K41" s="56"/>
      <c r="L41" s="35"/>
      <c r="M41" s="35" t="s">
        <v>162</v>
      </c>
      <c r="N41" s="35"/>
      <c r="O41" s="35"/>
      <c r="P41" s="35"/>
      <c r="Q41" s="35" t="s">
        <v>1246</v>
      </c>
      <c r="R41" s="35">
        <v>1111</v>
      </c>
      <c r="S41" s="39"/>
      <c r="T41" s="39"/>
      <c r="U41" s="39"/>
      <c r="V41" s="39"/>
      <c r="W41" s="35"/>
    </row>
    <row r="42" s="17" customFormat="1" ht="20" customHeight="1" spans="1:23">
      <c r="A42" s="35">
        <v>38</v>
      </c>
      <c r="B42" s="61">
        <v>45985</v>
      </c>
      <c r="C42" s="35" t="s">
        <v>316</v>
      </c>
      <c r="D42" s="35">
        <v>18238466112</v>
      </c>
      <c r="E42" s="35" t="s">
        <v>168</v>
      </c>
      <c r="F42" s="35" t="s">
        <v>169</v>
      </c>
      <c r="G42" s="35" t="s">
        <v>843</v>
      </c>
      <c r="H42" s="35" t="s">
        <v>162</v>
      </c>
      <c r="I42" s="35" t="s">
        <v>1227</v>
      </c>
      <c r="J42" s="56">
        <v>45985.7638888889</v>
      </c>
      <c r="K42" s="56" t="s">
        <v>1267</v>
      </c>
      <c r="L42" s="35" t="s">
        <v>164</v>
      </c>
      <c r="M42" s="35"/>
      <c r="N42" s="35" t="s">
        <v>1268</v>
      </c>
      <c r="O42" s="35">
        <v>199</v>
      </c>
      <c r="P42" s="35" t="s">
        <v>1269</v>
      </c>
      <c r="Q42" s="35"/>
      <c r="R42" s="35"/>
      <c r="S42" s="39"/>
      <c r="T42" s="39"/>
      <c r="U42" s="39"/>
      <c r="V42" s="39"/>
      <c r="W42" s="35"/>
    </row>
    <row r="43" s="17" customFormat="1" ht="20" customHeight="1" spans="1:23">
      <c r="A43" s="35">
        <v>39</v>
      </c>
      <c r="B43" s="61">
        <v>45985</v>
      </c>
      <c r="C43" s="35" t="s">
        <v>1270</v>
      </c>
      <c r="D43" s="35">
        <v>15852172825</v>
      </c>
      <c r="E43" s="35" t="s">
        <v>168</v>
      </c>
      <c r="F43" s="35" t="s">
        <v>169</v>
      </c>
      <c r="G43" s="35"/>
      <c r="H43" s="35" t="s">
        <v>200</v>
      </c>
      <c r="I43" s="35"/>
      <c r="J43" s="56"/>
      <c r="K43" s="56"/>
      <c r="L43" s="35"/>
      <c r="M43" s="35"/>
      <c r="N43" s="35"/>
      <c r="O43" s="35"/>
      <c r="P43" s="35"/>
      <c r="Q43" s="35"/>
      <c r="R43" s="35"/>
      <c r="S43" s="39"/>
      <c r="T43" s="39"/>
      <c r="U43" s="39"/>
      <c r="V43" s="39"/>
      <c r="W43" s="35"/>
    </row>
    <row r="44" s="17" customFormat="1" spans="1:23">
      <c r="A44" s="35">
        <v>40</v>
      </c>
      <c r="B44" s="61">
        <v>45985</v>
      </c>
      <c r="C44" s="35" t="s">
        <v>1271</v>
      </c>
      <c r="D44" s="35">
        <v>13335748060</v>
      </c>
      <c r="E44" s="35" t="s">
        <v>168</v>
      </c>
      <c r="F44" s="35" t="s">
        <v>189</v>
      </c>
      <c r="G44" s="35" t="s">
        <v>1209</v>
      </c>
      <c r="H44" s="35" t="s">
        <v>162</v>
      </c>
      <c r="I44" s="35" t="s">
        <v>1272</v>
      </c>
      <c r="J44" s="56">
        <v>45994.7916666667</v>
      </c>
      <c r="K44" s="56" t="s">
        <v>171</v>
      </c>
      <c r="L44" s="35" t="s">
        <v>1209</v>
      </c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</row>
    <row r="45" s="17" customFormat="1" spans="1:23">
      <c r="A45" s="35">
        <v>41</v>
      </c>
      <c r="B45" s="61">
        <v>45989</v>
      </c>
      <c r="C45" s="35" t="s">
        <v>252</v>
      </c>
      <c r="D45" s="35">
        <v>13777003148</v>
      </c>
      <c r="E45" s="35" t="s">
        <v>315</v>
      </c>
      <c r="F45" s="35" t="s">
        <v>189</v>
      </c>
      <c r="G45" s="35"/>
      <c r="H45" s="35" t="s">
        <v>200</v>
      </c>
      <c r="I45" s="35" t="s">
        <v>1273</v>
      </c>
      <c r="J45" s="56"/>
      <c r="K45" s="56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</row>
    <row r="46" s="17" customFormat="1" spans="1:23">
      <c r="A46" s="35">
        <v>42</v>
      </c>
      <c r="B46" s="61">
        <v>45990</v>
      </c>
      <c r="C46" s="35" t="s">
        <v>1274</v>
      </c>
      <c r="D46" s="35">
        <v>18712284063</v>
      </c>
      <c r="E46" s="35" t="s">
        <v>168</v>
      </c>
      <c r="F46" s="35" t="s">
        <v>189</v>
      </c>
      <c r="G46" s="35"/>
      <c r="H46" s="35" t="s">
        <v>200</v>
      </c>
      <c r="I46" s="35"/>
      <c r="J46" s="56"/>
      <c r="K46" s="56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</row>
    <row r="47" s="17" customFormat="1" spans="1:23">
      <c r="A47" s="35">
        <v>43</v>
      </c>
      <c r="B47" s="61">
        <v>45990</v>
      </c>
      <c r="C47" s="35" t="s">
        <v>316</v>
      </c>
      <c r="D47" s="35">
        <v>13567943982</v>
      </c>
      <c r="E47" s="35" t="s">
        <v>195</v>
      </c>
      <c r="F47" s="35" t="s">
        <v>169</v>
      </c>
      <c r="G47" s="35"/>
      <c r="H47" s="35" t="s">
        <v>200</v>
      </c>
      <c r="I47" s="35" t="s">
        <v>1273</v>
      </c>
      <c r="J47" s="56"/>
      <c r="K47" s="56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</row>
    <row r="48" s="17" customFormat="1" ht="47.25" spans="1:23">
      <c r="A48" s="35">
        <v>44</v>
      </c>
      <c r="B48" s="61">
        <v>45991</v>
      </c>
      <c r="C48" s="35" t="s">
        <v>1275</v>
      </c>
      <c r="D48" s="35">
        <v>18267411219</v>
      </c>
      <c r="E48" s="35" t="s">
        <v>168</v>
      </c>
      <c r="F48" s="35" t="s">
        <v>189</v>
      </c>
      <c r="G48" s="35" t="s">
        <v>1229</v>
      </c>
      <c r="H48" s="35" t="s">
        <v>162</v>
      </c>
      <c r="I48" s="35" t="s">
        <v>1276</v>
      </c>
      <c r="J48" s="56">
        <v>45992.8125</v>
      </c>
      <c r="K48" s="56" t="s">
        <v>1277</v>
      </c>
      <c r="L48" s="35" t="s">
        <v>1229</v>
      </c>
      <c r="M48" s="35"/>
      <c r="N48" s="35" t="s">
        <v>1278</v>
      </c>
      <c r="O48" s="35">
        <v>199</v>
      </c>
      <c r="P48" s="38" t="s">
        <v>1279</v>
      </c>
      <c r="Q48" s="35"/>
      <c r="R48" s="35"/>
      <c r="S48" s="35"/>
      <c r="T48" s="35"/>
      <c r="U48" s="35"/>
      <c r="V48" s="35"/>
      <c r="W48" s="35"/>
    </row>
    <row r="49" s="18" customFormat="1" spans="1:23">
      <c r="A49" s="41">
        <v>45</v>
      </c>
      <c r="B49" s="40"/>
      <c r="C49" s="41"/>
      <c r="D49" s="41"/>
      <c r="E49" s="41"/>
      <c r="F49" s="41"/>
      <c r="G49" s="41"/>
      <c r="H49" s="41"/>
      <c r="I49" s="41"/>
      <c r="J49" s="63"/>
      <c r="K49" s="63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="17" customFormat="1" spans="1:23">
      <c r="A50" s="35">
        <v>46</v>
      </c>
      <c r="B50" s="36">
        <v>45994</v>
      </c>
      <c r="C50" s="35" t="s">
        <v>1280</v>
      </c>
      <c r="D50" s="35">
        <v>13957882000</v>
      </c>
      <c r="E50" s="35" t="s">
        <v>168</v>
      </c>
      <c r="F50" s="35" t="s">
        <v>189</v>
      </c>
      <c r="G50" s="35" t="s">
        <v>719</v>
      </c>
      <c r="H50" s="35" t="s">
        <v>162</v>
      </c>
      <c r="I50" s="35"/>
      <c r="J50" s="56">
        <v>45995.5069444444</v>
      </c>
      <c r="K50" s="56" t="s">
        <v>244</v>
      </c>
      <c r="L50" s="35" t="s">
        <v>1218</v>
      </c>
      <c r="M50" s="35" t="s">
        <v>162</v>
      </c>
      <c r="N50" s="35" t="s">
        <v>1281</v>
      </c>
      <c r="O50" s="35">
        <v>99</v>
      </c>
      <c r="P50" s="121" t="s">
        <v>1282</v>
      </c>
      <c r="Q50" s="35" t="s">
        <v>283</v>
      </c>
      <c r="R50" s="35">
        <v>1946</v>
      </c>
      <c r="S50" s="35"/>
      <c r="T50" s="35"/>
      <c r="U50" s="35"/>
      <c r="V50" s="35"/>
      <c r="W50" s="35"/>
    </row>
    <row r="51" s="17" customFormat="1" ht="47.25" spans="1:23">
      <c r="A51" s="35">
        <v>47</v>
      </c>
      <c r="B51" s="36">
        <v>45996</v>
      </c>
      <c r="C51" s="35" t="s">
        <v>1283</v>
      </c>
      <c r="D51" s="35">
        <v>13306689266</v>
      </c>
      <c r="E51" s="35" t="s">
        <v>168</v>
      </c>
      <c r="F51" s="35" t="s">
        <v>189</v>
      </c>
      <c r="G51" s="35" t="s">
        <v>248</v>
      </c>
      <c r="H51" s="35" t="s">
        <v>162</v>
      </c>
      <c r="I51" s="35" t="s">
        <v>1284</v>
      </c>
      <c r="J51" s="56">
        <v>45996.8125</v>
      </c>
      <c r="K51" s="56" t="s">
        <v>578</v>
      </c>
      <c r="L51" s="35" t="s">
        <v>248</v>
      </c>
      <c r="M51" s="35"/>
      <c r="N51" s="35" t="s">
        <v>249</v>
      </c>
      <c r="O51" s="35">
        <v>199</v>
      </c>
      <c r="P51" s="38" t="s">
        <v>1285</v>
      </c>
      <c r="Q51" s="35"/>
      <c r="R51" s="35"/>
      <c r="S51" s="35"/>
      <c r="T51" s="35"/>
      <c r="U51" s="35"/>
      <c r="V51" s="35"/>
      <c r="W51" s="35"/>
    </row>
    <row r="52" s="17" customFormat="1" spans="1:23">
      <c r="A52" s="35">
        <v>48</v>
      </c>
      <c r="B52" s="36">
        <v>45996</v>
      </c>
      <c r="C52" s="35" t="s">
        <v>1286</v>
      </c>
      <c r="D52" s="35">
        <v>13566349010</v>
      </c>
      <c r="E52" s="35" t="s">
        <v>168</v>
      </c>
      <c r="F52" s="35" t="s">
        <v>169</v>
      </c>
      <c r="G52" s="35"/>
      <c r="H52" s="35" t="s">
        <v>200</v>
      </c>
      <c r="I52" s="35" t="s">
        <v>1287</v>
      </c>
      <c r="J52" s="56"/>
      <c r="K52" s="56"/>
      <c r="L52" s="35"/>
      <c r="M52" s="35"/>
      <c r="N52" s="35"/>
      <c r="O52" s="35"/>
      <c r="P52" s="35"/>
      <c r="Q52" s="64" t="s">
        <v>1288</v>
      </c>
      <c r="R52" s="64">
        <v>199</v>
      </c>
      <c r="S52" s="35"/>
      <c r="T52" s="35"/>
      <c r="U52" s="35"/>
      <c r="V52" s="35"/>
      <c r="W52" s="35"/>
    </row>
    <row r="53" s="17" customFormat="1" ht="47.25" spans="1:23">
      <c r="A53" s="35">
        <v>49</v>
      </c>
      <c r="B53" s="36">
        <v>46000</v>
      </c>
      <c r="C53" s="35" t="s">
        <v>1289</v>
      </c>
      <c r="D53" s="35">
        <v>18667809699</v>
      </c>
      <c r="E53" s="35" t="s">
        <v>168</v>
      </c>
      <c r="F53" s="35" t="s">
        <v>189</v>
      </c>
      <c r="G53" s="35" t="s">
        <v>1236</v>
      </c>
      <c r="H53" s="35" t="s">
        <v>162</v>
      </c>
      <c r="I53" s="35" t="s">
        <v>1284</v>
      </c>
      <c r="J53" s="56">
        <v>46000.7708333333</v>
      </c>
      <c r="K53" s="56" t="s">
        <v>1216</v>
      </c>
      <c r="L53" s="35" t="s">
        <v>248</v>
      </c>
      <c r="M53" s="35" t="s">
        <v>162</v>
      </c>
      <c r="N53" s="35" t="s">
        <v>249</v>
      </c>
      <c r="O53" s="35">
        <v>199</v>
      </c>
      <c r="P53" s="38" t="s">
        <v>470</v>
      </c>
      <c r="Q53" s="35" t="s">
        <v>1290</v>
      </c>
      <c r="R53" s="35">
        <v>9999</v>
      </c>
      <c r="S53" s="35"/>
      <c r="T53" s="35"/>
      <c r="U53" s="35"/>
      <c r="V53" s="35"/>
      <c r="W53" s="35"/>
    </row>
    <row r="54" s="17" customFormat="1" spans="1:23">
      <c r="A54" s="35">
        <v>50</v>
      </c>
      <c r="B54" s="36">
        <v>46000</v>
      </c>
      <c r="C54" s="35" t="s">
        <v>1291</v>
      </c>
      <c r="D54" s="35"/>
      <c r="E54" s="35" t="s">
        <v>168</v>
      </c>
      <c r="F54" s="35" t="s">
        <v>189</v>
      </c>
      <c r="G54" s="62"/>
      <c r="H54" s="35" t="s">
        <v>200</v>
      </c>
      <c r="I54" s="35" t="s">
        <v>1292</v>
      </c>
      <c r="J54" s="56"/>
      <c r="K54" s="56"/>
      <c r="L54" s="35"/>
      <c r="M54" s="35"/>
      <c r="N54" s="35"/>
      <c r="O54" s="35"/>
      <c r="P54" s="38"/>
      <c r="Q54" s="35"/>
      <c r="R54" s="35"/>
      <c r="S54" s="35"/>
      <c r="T54" s="35"/>
      <c r="U54" s="35"/>
      <c r="V54" s="35"/>
      <c r="W54" s="35"/>
    </row>
    <row r="55" s="17" customFormat="1" spans="1:23">
      <c r="A55" s="35">
        <v>51</v>
      </c>
      <c r="B55" s="36">
        <v>46000</v>
      </c>
      <c r="C55" s="35" t="s">
        <v>1293</v>
      </c>
      <c r="D55" s="35">
        <v>13656881861</v>
      </c>
      <c r="E55" s="35" t="s">
        <v>168</v>
      </c>
      <c r="F55" s="35" t="s">
        <v>189</v>
      </c>
      <c r="G55" s="62"/>
      <c r="H55" s="35" t="s">
        <v>200</v>
      </c>
      <c r="I55" s="35" t="s">
        <v>1287</v>
      </c>
      <c r="J55" s="56"/>
      <c r="K55" s="56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</row>
    <row r="56" s="17" customFormat="1" spans="1:23">
      <c r="A56" s="35">
        <v>52</v>
      </c>
      <c r="B56" s="36">
        <v>46001</v>
      </c>
      <c r="C56" s="35" t="s">
        <v>1294</v>
      </c>
      <c r="D56" s="35">
        <v>15957854098</v>
      </c>
      <c r="E56" s="35" t="s">
        <v>168</v>
      </c>
      <c r="F56" s="35" t="s">
        <v>189</v>
      </c>
      <c r="G56" s="35" t="s">
        <v>719</v>
      </c>
      <c r="H56" s="35" t="s">
        <v>162</v>
      </c>
      <c r="I56" s="35" t="s">
        <v>474</v>
      </c>
      <c r="J56" s="56">
        <v>46005.5069444444</v>
      </c>
      <c r="K56" s="56" t="s">
        <v>196</v>
      </c>
      <c r="L56" s="35" t="s">
        <v>1209</v>
      </c>
      <c r="M56" s="35"/>
      <c r="N56" s="35" t="s">
        <v>662</v>
      </c>
      <c r="O56" s="35">
        <v>119</v>
      </c>
      <c r="P56" s="35"/>
      <c r="Q56" s="35"/>
      <c r="R56" s="35"/>
      <c r="S56" s="35"/>
      <c r="T56" s="35"/>
      <c r="U56" s="35"/>
      <c r="V56" s="35"/>
      <c r="W56" s="35"/>
    </row>
    <row r="57" s="17" customFormat="1" spans="1:23">
      <c r="A57" s="35">
        <v>53</v>
      </c>
      <c r="B57" s="36">
        <v>46001</v>
      </c>
      <c r="C57" s="35" t="s">
        <v>1286</v>
      </c>
      <c r="D57" s="35">
        <v>13566349010</v>
      </c>
      <c r="E57" s="35" t="s">
        <v>168</v>
      </c>
      <c r="F57" s="35" t="s">
        <v>169</v>
      </c>
      <c r="G57" s="35" t="s">
        <v>843</v>
      </c>
      <c r="H57" s="35" t="s">
        <v>162</v>
      </c>
      <c r="I57" s="62"/>
      <c r="J57" s="56">
        <v>46001.5833333333</v>
      </c>
      <c r="K57" s="56" t="s">
        <v>196</v>
      </c>
      <c r="L57" s="35" t="s">
        <v>172</v>
      </c>
      <c r="M57" s="35"/>
      <c r="N57" s="35" t="s">
        <v>522</v>
      </c>
      <c r="O57" s="35">
        <v>119</v>
      </c>
      <c r="P57" s="121" t="s">
        <v>1295</v>
      </c>
      <c r="Q57" s="64" t="s">
        <v>1288</v>
      </c>
      <c r="R57" s="64">
        <v>199</v>
      </c>
      <c r="S57" s="35"/>
      <c r="T57" s="35"/>
      <c r="U57" s="35"/>
      <c r="V57" s="35"/>
      <c r="W57" s="35"/>
    </row>
    <row r="58" s="17" customFormat="1" spans="1:23">
      <c r="A58" s="35">
        <v>54</v>
      </c>
      <c r="B58" s="36">
        <v>46003</v>
      </c>
      <c r="C58" s="35" t="s">
        <v>1296</v>
      </c>
      <c r="D58" s="35">
        <v>13736166872</v>
      </c>
      <c r="E58" s="35" t="s">
        <v>1297</v>
      </c>
      <c r="F58" s="35" t="s">
        <v>267</v>
      </c>
      <c r="G58" s="35"/>
      <c r="H58" s="35" t="s">
        <v>200</v>
      </c>
      <c r="I58" s="35"/>
      <c r="J58" s="56"/>
      <c r="K58" s="56"/>
      <c r="L58" s="35"/>
      <c r="M58" s="35"/>
      <c r="N58" s="35"/>
      <c r="O58" s="35"/>
      <c r="P58" s="35"/>
      <c r="Q58" s="64" t="s">
        <v>1288</v>
      </c>
      <c r="R58" s="64">
        <v>199</v>
      </c>
      <c r="S58" s="35"/>
      <c r="T58" s="35"/>
      <c r="U58" s="35"/>
      <c r="V58" s="35"/>
      <c r="W58" s="35"/>
    </row>
    <row r="59" s="17" customFormat="1" spans="1:23">
      <c r="A59" s="35">
        <v>55</v>
      </c>
      <c r="B59" s="36">
        <v>46006</v>
      </c>
      <c r="C59" s="35" t="s">
        <v>1298</v>
      </c>
      <c r="D59" s="35">
        <v>13685831754</v>
      </c>
      <c r="E59" s="35" t="s">
        <v>168</v>
      </c>
      <c r="F59" s="35" t="s">
        <v>169</v>
      </c>
      <c r="G59" s="35" t="s">
        <v>1209</v>
      </c>
      <c r="H59" s="35" t="s">
        <v>162</v>
      </c>
      <c r="I59" s="35"/>
      <c r="J59" s="56">
        <v>46008.5</v>
      </c>
      <c r="K59" s="56" t="s">
        <v>171</v>
      </c>
      <c r="L59" s="35" t="s">
        <v>1299</v>
      </c>
      <c r="M59" s="35"/>
      <c r="N59" s="35" t="s">
        <v>1268</v>
      </c>
      <c r="O59" s="35">
        <v>199</v>
      </c>
      <c r="P59" s="121" t="s">
        <v>487</v>
      </c>
      <c r="Q59" s="35"/>
      <c r="R59" s="35"/>
      <c r="S59" s="35"/>
      <c r="T59" s="35"/>
      <c r="U59" s="35"/>
      <c r="V59" s="35"/>
      <c r="W59" s="35"/>
    </row>
    <row r="60" s="55" customFormat="1" spans="1:23">
      <c r="A60" s="35">
        <v>56</v>
      </c>
      <c r="B60" s="36">
        <v>46007</v>
      </c>
      <c r="C60" s="64" t="s">
        <v>1300</v>
      </c>
      <c r="D60" s="64">
        <v>13706840282</v>
      </c>
      <c r="E60" s="35" t="s">
        <v>168</v>
      </c>
      <c r="F60" s="64" t="s">
        <v>396</v>
      </c>
      <c r="G60" s="64" t="s">
        <v>248</v>
      </c>
      <c r="H60" s="64" t="s">
        <v>162</v>
      </c>
      <c r="I60" s="64"/>
      <c r="J60" s="56">
        <v>46011.5069444444</v>
      </c>
      <c r="K60" s="64" t="s">
        <v>1301</v>
      </c>
      <c r="L60" s="64" t="s">
        <v>719</v>
      </c>
      <c r="M60" s="64"/>
      <c r="N60" s="64"/>
      <c r="O60" s="64"/>
      <c r="P60" s="64"/>
      <c r="Q60" s="64" t="s">
        <v>1288</v>
      </c>
      <c r="R60" s="64">
        <v>199</v>
      </c>
      <c r="S60" s="64"/>
      <c r="T60" s="64"/>
      <c r="U60" s="64"/>
      <c r="V60" s="64"/>
      <c r="W60" s="64"/>
    </row>
    <row r="61" s="55" customFormat="1" spans="1:23">
      <c r="A61" s="35">
        <v>57</v>
      </c>
      <c r="B61" s="36">
        <v>46007</v>
      </c>
      <c r="C61" s="64" t="s">
        <v>1302</v>
      </c>
      <c r="D61" s="64">
        <v>13023711141</v>
      </c>
      <c r="E61" s="35" t="s">
        <v>168</v>
      </c>
      <c r="F61" s="64" t="s">
        <v>189</v>
      </c>
      <c r="G61" s="64"/>
      <c r="H61" s="64" t="s">
        <v>200</v>
      </c>
      <c r="I61" s="65"/>
      <c r="J61" s="56"/>
      <c r="K61" s="64"/>
      <c r="L61" s="64"/>
      <c r="M61" s="64"/>
      <c r="N61" s="64"/>
      <c r="O61" s="64"/>
      <c r="P61" s="64"/>
      <c r="Q61" s="64" t="s">
        <v>1288</v>
      </c>
      <c r="R61" s="64">
        <v>199</v>
      </c>
      <c r="S61" s="64"/>
      <c r="T61" s="64"/>
      <c r="U61" s="64"/>
      <c r="V61" s="64"/>
      <c r="W61" s="64"/>
    </row>
    <row r="62" s="55" customFormat="1" spans="1:23">
      <c r="A62" s="35">
        <v>58</v>
      </c>
      <c r="B62" s="36">
        <v>46007</v>
      </c>
      <c r="C62" s="64" t="s">
        <v>1303</v>
      </c>
      <c r="D62" s="64">
        <v>15958890397</v>
      </c>
      <c r="E62" s="35" t="s">
        <v>168</v>
      </c>
      <c r="F62" s="64" t="s">
        <v>396</v>
      </c>
      <c r="G62" s="35" t="s">
        <v>1229</v>
      </c>
      <c r="H62" s="64" t="s">
        <v>200</v>
      </c>
      <c r="I62" s="65"/>
      <c r="J62" s="56"/>
      <c r="K62" s="64"/>
      <c r="L62" s="64"/>
      <c r="M62" s="64"/>
      <c r="N62" s="64"/>
      <c r="O62" s="64"/>
      <c r="P62" s="64"/>
      <c r="Q62" s="64" t="s">
        <v>1288</v>
      </c>
      <c r="R62" s="64">
        <v>199</v>
      </c>
      <c r="S62" s="64"/>
      <c r="T62" s="64"/>
      <c r="U62" s="64"/>
      <c r="V62" s="64"/>
      <c r="W62" s="64"/>
    </row>
    <row r="63" s="55" customFormat="1" spans="1:23">
      <c r="A63" s="35">
        <v>59</v>
      </c>
      <c r="B63" s="36">
        <v>46007</v>
      </c>
      <c r="C63" s="64" t="s">
        <v>1304</v>
      </c>
      <c r="D63" s="64">
        <v>13958228618</v>
      </c>
      <c r="E63" s="35" t="s">
        <v>315</v>
      </c>
      <c r="F63" s="64" t="s">
        <v>396</v>
      </c>
      <c r="G63" s="64"/>
      <c r="H63" s="64" t="s">
        <v>200</v>
      </c>
      <c r="I63" s="65"/>
      <c r="J63" s="56"/>
      <c r="K63" s="64"/>
      <c r="L63" s="64"/>
      <c r="M63" s="64"/>
      <c r="N63" s="64"/>
      <c r="O63" s="64"/>
      <c r="P63" s="64"/>
      <c r="Q63" s="64" t="s">
        <v>1288</v>
      </c>
      <c r="R63" s="64">
        <v>199</v>
      </c>
      <c r="S63" s="64"/>
      <c r="T63" s="64"/>
      <c r="U63" s="64"/>
      <c r="V63" s="64"/>
      <c r="W63" s="64"/>
    </row>
    <row r="64" s="55" customFormat="1" spans="1:23">
      <c r="A64" s="35">
        <v>60</v>
      </c>
      <c r="B64" s="36">
        <v>46008</v>
      </c>
      <c r="C64" s="64" t="s">
        <v>1305</v>
      </c>
      <c r="D64" s="64">
        <v>13656786683</v>
      </c>
      <c r="E64" s="35" t="s">
        <v>168</v>
      </c>
      <c r="F64" s="35" t="s">
        <v>189</v>
      </c>
      <c r="G64" s="64" t="s">
        <v>1236</v>
      </c>
      <c r="H64" s="64" t="s">
        <v>162</v>
      </c>
      <c r="I64" s="65"/>
      <c r="J64" s="56">
        <v>46023.6666666667</v>
      </c>
      <c r="K64" s="64" t="s">
        <v>1216</v>
      </c>
      <c r="L64" s="64" t="s">
        <v>248</v>
      </c>
      <c r="M64" s="64"/>
      <c r="N64" s="64"/>
      <c r="O64" s="64"/>
      <c r="P64" s="64"/>
      <c r="Q64" s="64" t="s">
        <v>1288</v>
      </c>
      <c r="R64" s="64">
        <v>199</v>
      </c>
      <c r="S64" s="64"/>
      <c r="T64" s="64"/>
      <c r="U64" s="64"/>
      <c r="V64" s="64"/>
      <c r="W64" s="64"/>
    </row>
    <row r="65" s="55" customFormat="1" spans="1:23">
      <c r="A65" s="35">
        <v>61</v>
      </c>
      <c r="B65" s="36">
        <v>46008</v>
      </c>
      <c r="C65" s="64" t="s">
        <v>1306</v>
      </c>
      <c r="D65" s="64">
        <v>15988652399</v>
      </c>
      <c r="E65" s="35" t="s">
        <v>168</v>
      </c>
      <c r="F65" s="64" t="s">
        <v>396</v>
      </c>
      <c r="G65" s="64"/>
      <c r="H65" s="64" t="s">
        <v>200</v>
      </c>
      <c r="I65" s="65"/>
      <c r="J65" s="56"/>
      <c r="K65" s="64"/>
      <c r="L65" s="64"/>
      <c r="M65" s="64"/>
      <c r="N65" s="64"/>
      <c r="O65" s="64"/>
      <c r="P65" s="64"/>
      <c r="Q65" s="64" t="s">
        <v>1288</v>
      </c>
      <c r="R65" s="64">
        <v>199</v>
      </c>
      <c r="S65" s="64"/>
      <c r="T65" s="64"/>
      <c r="U65" s="64"/>
      <c r="V65" s="64"/>
      <c r="W65" s="64"/>
    </row>
    <row r="66" s="55" customFormat="1" spans="1:23">
      <c r="A66" s="35">
        <v>62</v>
      </c>
      <c r="B66" s="36">
        <v>46008</v>
      </c>
      <c r="C66" s="35" t="s">
        <v>1307</v>
      </c>
      <c r="D66" s="35">
        <v>13586858186</v>
      </c>
      <c r="E66" s="35" t="s">
        <v>1308</v>
      </c>
      <c r="F66" s="64" t="s">
        <v>396</v>
      </c>
      <c r="G66" s="35" t="s">
        <v>1229</v>
      </c>
      <c r="H66" s="64" t="s">
        <v>162</v>
      </c>
      <c r="I66" s="65"/>
      <c r="J66" s="56">
        <v>46020.75</v>
      </c>
      <c r="K66" s="56" t="s">
        <v>196</v>
      </c>
      <c r="L66" s="35" t="s">
        <v>719</v>
      </c>
      <c r="M66" s="64"/>
      <c r="N66" s="64"/>
      <c r="O66" s="64"/>
      <c r="P66" s="64"/>
      <c r="Q66" s="64" t="s">
        <v>1288</v>
      </c>
      <c r="R66" s="64">
        <v>199</v>
      </c>
      <c r="S66" s="64"/>
      <c r="T66" s="64"/>
      <c r="U66" s="64"/>
      <c r="V66" s="64"/>
      <c r="W66" s="64"/>
    </row>
    <row r="67" s="55" customFormat="1" spans="1:23">
      <c r="A67" s="35">
        <v>63</v>
      </c>
      <c r="B67" s="36">
        <v>46008</v>
      </c>
      <c r="C67" s="35" t="s">
        <v>1309</v>
      </c>
      <c r="D67" s="35">
        <v>13736165703</v>
      </c>
      <c r="E67" s="35" t="s">
        <v>1310</v>
      </c>
      <c r="F67" s="35" t="s">
        <v>396</v>
      </c>
      <c r="G67" s="35" t="s">
        <v>1209</v>
      </c>
      <c r="H67" s="35" t="s">
        <v>162</v>
      </c>
      <c r="I67" s="65"/>
      <c r="J67" s="56">
        <v>46017.75</v>
      </c>
      <c r="K67" s="56" t="s">
        <v>1301</v>
      </c>
      <c r="L67" s="35" t="s">
        <v>719</v>
      </c>
      <c r="M67" s="64"/>
      <c r="N67" s="64"/>
      <c r="O67" s="64"/>
      <c r="P67" s="64"/>
      <c r="Q67" s="64" t="s">
        <v>1288</v>
      </c>
      <c r="R67" s="64">
        <v>199</v>
      </c>
      <c r="S67" s="64"/>
      <c r="T67" s="64"/>
      <c r="U67" s="64"/>
      <c r="V67" s="64"/>
      <c r="W67" s="64"/>
    </row>
    <row r="68" s="55" customFormat="1" spans="1:23">
      <c r="A68" s="35">
        <v>64</v>
      </c>
      <c r="B68" s="36">
        <v>46009</v>
      </c>
      <c r="C68" s="64" t="s">
        <v>1311</v>
      </c>
      <c r="D68" s="64">
        <v>18368405347</v>
      </c>
      <c r="E68" s="35" t="s">
        <v>315</v>
      </c>
      <c r="F68" s="35" t="s">
        <v>189</v>
      </c>
      <c r="G68" s="64" t="s">
        <v>719</v>
      </c>
      <c r="H68" s="64" t="s">
        <v>162</v>
      </c>
      <c r="I68" s="65"/>
      <c r="J68" s="56">
        <v>46013.75</v>
      </c>
      <c r="K68" s="64" t="s">
        <v>196</v>
      </c>
      <c r="L68" s="64" t="s">
        <v>190</v>
      </c>
      <c r="M68" s="64"/>
      <c r="N68" s="64"/>
      <c r="O68" s="64"/>
      <c r="P68" s="64"/>
      <c r="Q68" s="64" t="s">
        <v>1288</v>
      </c>
      <c r="R68" s="64">
        <v>199</v>
      </c>
      <c r="S68" s="64"/>
      <c r="T68" s="64"/>
      <c r="U68" s="64"/>
      <c r="V68" s="64"/>
      <c r="W68" s="64"/>
    </row>
    <row r="69" s="55" customFormat="1" spans="1:23">
      <c r="A69" s="35">
        <v>65</v>
      </c>
      <c r="B69" s="36">
        <v>46010</v>
      </c>
      <c r="C69" s="64" t="s">
        <v>1312</v>
      </c>
      <c r="D69" s="64">
        <v>13208088561</v>
      </c>
      <c r="E69" s="35" t="s">
        <v>168</v>
      </c>
      <c r="F69" s="35" t="s">
        <v>189</v>
      </c>
      <c r="G69" s="64" t="s">
        <v>1236</v>
      </c>
      <c r="H69" s="64" t="s">
        <v>162</v>
      </c>
      <c r="I69" s="65"/>
      <c r="J69" s="56">
        <v>46011.5069444444</v>
      </c>
      <c r="K69" s="64" t="s">
        <v>1301</v>
      </c>
      <c r="L69" s="64" t="s">
        <v>719</v>
      </c>
      <c r="M69" s="64"/>
      <c r="N69" s="64"/>
      <c r="O69" s="64"/>
      <c r="P69" s="64"/>
      <c r="Q69" s="64" t="s">
        <v>1288</v>
      </c>
      <c r="R69" s="64">
        <v>199</v>
      </c>
      <c r="S69" s="64"/>
      <c r="T69" s="64"/>
      <c r="U69" s="64"/>
      <c r="V69" s="64"/>
      <c r="W69" s="64"/>
    </row>
    <row r="70" s="17" customFormat="1" spans="1:23">
      <c r="A70" s="35">
        <v>66</v>
      </c>
      <c r="B70" s="36">
        <v>46010</v>
      </c>
      <c r="C70" s="35" t="s">
        <v>1313</v>
      </c>
      <c r="D70" s="35">
        <v>13958211009</v>
      </c>
      <c r="E70" s="35" t="s">
        <v>1314</v>
      </c>
      <c r="F70" s="35" t="s">
        <v>396</v>
      </c>
      <c r="G70" s="35" t="s">
        <v>719</v>
      </c>
      <c r="H70" s="35" t="s">
        <v>162</v>
      </c>
      <c r="I70" s="51"/>
      <c r="J70" s="56">
        <v>46021.5</v>
      </c>
      <c r="K70" s="56" t="s">
        <v>244</v>
      </c>
      <c r="L70" s="35" t="s">
        <v>1218</v>
      </c>
      <c r="M70" s="35"/>
      <c r="N70" s="35"/>
      <c r="O70" s="35"/>
      <c r="P70" s="35"/>
      <c r="Q70" s="64" t="s">
        <v>1288</v>
      </c>
      <c r="R70" s="64">
        <v>199</v>
      </c>
      <c r="S70" s="35"/>
      <c r="T70" s="35"/>
      <c r="U70" s="35"/>
      <c r="V70" s="35"/>
      <c r="W70" s="35"/>
    </row>
    <row r="71" s="17" customFormat="1" spans="1:23">
      <c r="A71" s="35">
        <v>67</v>
      </c>
      <c r="B71" s="36">
        <v>46010</v>
      </c>
      <c r="C71" s="35" t="s">
        <v>1315</v>
      </c>
      <c r="D71" s="35">
        <v>13028926820</v>
      </c>
      <c r="E71" s="35" t="s">
        <v>315</v>
      </c>
      <c r="F71" s="35" t="s">
        <v>189</v>
      </c>
      <c r="G71" s="35" t="s">
        <v>719</v>
      </c>
      <c r="H71" s="35" t="s">
        <v>162</v>
      </c>
      <c r="I71" s="51" t="s">
        <v>263</v>
      </c>
      <c r="J71" s="56">
        <v>46011.5833333333</v>
      </c>
      <c r="K71" s="64" t="s">
        <v>196</v>
      </c>
      <c r="L71" s="64" t="s">
        <v>719</v>
      </c>
      <c r="M71" s="35"/>
      <c r="N71" s="35"/>
      <c r="O71" s="35"/>
      <c r="P71" s="35"/>
      <c r="Q71" s="64" t="s">
        <v>1288</v>
      </c>
      <c r="R71" s="64">
        <v>199</v>
      </c>
      <c r="S71" s="35"/>
      <c r="T71" s="35"/>
      <c r="U71" s="35"/>
      <c r="V71" s="35"/>
      <c r="W71" s="35"/>
    </row>
    <row r="72" s="17" customFormat="1" spans="1:23">
      <c r="A72" s="35">
        <v>68</v>
      </c>
      <c r="B72" s="36">
        <v>46010</v>
      </c>
      <c r="C72" s="35" t="s">
        <v>1316</v>
      </c>
      <c r="D72" s="35">
        <v>13336658259</v>
      </c>
      <c r="E72" s="35" t="s">
        <v>315</v>
      </c>
      <c r="F72" s="35" t="s">
        <v>189</v>
      </c>
      <c r="G72" s="35" t="s">
        <v>248</v>
      </c>
      <c r="H72" s="35" t="s">
        <v>162</v>
      </c>
      <c r="I72" s="66"/>
      <c r="J72" s="56">
        <v>46011.5833333333</v>
      </c>
      <c r="K72" s="64" t="s">
        <v>196</v>
      </c>
      <c r="L72" s="64" t="s">
        <v>719</v>
      </c>
      <c r="M72" s="35"/>
      <c r="N72" s="35"/>
      <c r="O72" s="35"/>
      <c r="P72" s="35"/>
      <c r="Q72" s="64" t="s">
        <v>1288</v>
      </c>
      <c r="R72" s="64">
        <v>199</v>
      </c>
      <c r="S72" s="35"/>
      <c r="T72" s="35"/>
      <c r="U72" s="35"/>
      <c r="V72" s="35"/>
      <c r="W72" s="35"/>
    </row>
    <row r="73" s="17" customFormat="1" spans="1:23">
      <c r="A73" s="35">
        <v>69</v>
      </c>
      <c r="B73" s="36">
        <v>46010</v>
      </c>
      <c r="C73" s="35" t="s">
        <v>1317</v>
      </c>
      <c r="D73" s="35">
        <v>18667807799</v>
      </c>
      <c r="E73" s="35" t="s">
        <v>315</v>
      </c>
      <c r="F73" s="35" t="s">
        <v>189</v>
      </c>
      <c r="G73" s="35" t="s">
        <v>1236</v>
      </c>
      <c r="H73" s="35" t="s">
        <v>162</v>
      </c>
      <c r="I73" s="66"/>
      <c r="J73" s="56">
        <v>46011.5833333333</v>
      </c>
      <c r="K73" s="64" t="s">
        <v>196</v>
      </c>
      <c r="L73" s="64" t="s">
        <v>719</v>
      </c>
      <c r="M73" s="35"/>
      <c r="N73" s="35"/>
      <c r="O73" s="35"/>
      <c r="P73" s="35"/>
      <c r="Q73" s="64" t="s">
        <v>1288</v>
      </c>
      <c r="R73" s="64">
        <v>199</v>
      </c>
      <c r="S73" s="35"/>
      <c r="T73" s="35"/>
      <c r="U73" s="35"/>
      <c r="V73" s="35"/>
      <c r="W73" s="35"/>
    </row>
    <row r="74" s="17" customFormat="1" spans="1:23">
      <c r="A74" s="35">
        <v>70</v>
      </c>
      <c r="B74" s="36">
        <v>46010</v>
      </c>
      <c r="C74" s="35" t="s">
        <v>1318</v>
      </c>
      <c r="D74" s="35">
        <v>13867894161</v>
      </c>
      <c r="E74" s="35" t="s">
        <v>315</v>
      </c>
      <c r="F74" s="35" t="s">
        <v>189</v>
      </c>
      <c r="G74" s="35" t="s">
        <v>1229</v>
      </c>
      <c r="H74" s="35" t="s">
        <v>162</v>
      </c>
      <c r="I74" s="66"/>
      <c r="J74" s="56">
        <v>46011.5833333333</v>
      </c>
      <c r="K74" s="64" t="s">
        <v>196</v>
      </c>
      <c r="L74" s="64" t="s">
        <v>719</v>
      </c>
      <c r="M74" s="35"/>
      <c r="N74" s="35"/>
      <c r="O74" s="35"/>
      <c r="P74" s="35"/>
      <c r="Q74" s="64" t="s">
        <v>1288</v>
      </c>
      <c r="R74" s="64">
        <v>199</v>
      </c>
      <c r="S74" s="35"/>
      <c r="T74" s="35"/>
      <c r="U74" s="35"/>
      <c r="V74" s="35"/>
      <c r="W74" s="35"/>
    </row>
    <row r="75" s="17" customFormat="1" spans="1:23">
      <c r="A75" s="35">
        <v>71</v>
      </c>
      <c r="B75" s="36">
        <v>46010</v>
      </c>
      <c r="C75" s="35" t="s">
        <v>1319</v>
      </c>
      <c r="D75" s="35">
        <v>18957861279</v>
      </c>
      <c r="E75" s="35" t="s">
        <v>315</v>
      </c>
      <c r="F75" s="35" t="s">
        <v>189</v>
      </c>
      <c r="G75" s="35"/>
      <c r="H75" s="35" t="s">
        <v>162</v>
      </c>
      <c r="I75" s="52"/>
      <c r="J75" s="56">
        <v>46011.5833333333</v>
      </c>
      <c r="K75" s="64" t="s">
        <v>196</v>
      </c>
      <c r="L75" s="64" t="s">
        <v>719</v>
      </c>
      <c r="M75" s="35"/>
      <c r="N75" s="35"/>
      <c r="O75" s="35"/>
      <c r="P75" s="35"/>
      <c r="Q75" s="64" t="s">
        <v>1288</v>
      </c>
      <c r="R75" s="64">
        <v>199</v>
      </c>
      <c r="S75" s="35"/>
      <c r="T75" s="35"/>
      <c r="U75" s="35"/>
      <c r="V75" s="35"/>
      <c r="W75" s="35"/>
    </row>
    <row r="76" s="17" customFormat="1" spans="1:23">
      <c r="A76" s="35">
        <v>72</v>
      </c>
      <c r="B76" s="36">
        <v>46012</v>
      </c>
      <c r="C76" s="35" t="s">
        <v>1320</v>
      </c>
      <c r="D76" s="35">
        <v>15988677050</v>
      </c>
      <c r="E76" s="35" t="s">
        <v>168</v>
      </c>
      <c r="F76" s="35" t="s">
        <v>189</v>
      </c>
      <c r="G76" s="35" t="s">
        <v>1229</v>
      </c>
      <c r="H76" s="35" t="s">
        <v>162</v>
      </c>
      <c r="I76" s="35"/>
      <c r="J76" s="56">
        <v>46014.4930555556</v>
      </c>
      <c r="K76" s="56" t="s">
        <v>196</v>
      </c>
      <c r="L76" s="64" t="s">
        <v>719</v>
      </c>
      <c r="M76" s="35"/>
      <c r="N76" s="35"/>
      <c r="O76" s="35"/>
      <c r="P76" s="35"/>
      <c r="Q76" s="64" t="s">
        <v>1288</v>
      </c>
      <c r="R76" s="64">
        <v>199</v>
      </c>
      <c r="S76" s="35"/>
      <c r="T76" s="35"/>
      <c r="U76" s="35"/>
      <c r="V76" s="35"/>
      <c r="W76" s="35"/>
    </row>
    <row r="77" s="17" customFormat="1" ht="31.5" spans="1:23">
      <c r="A77" s="35">
        <v>73</v>
      </c>
      <c r="B77" s="36">
        <v>46012</v>
      </c>
      <c r="C77" s="35" t="s">
        <v>1321</v>
      </c>
      <c r="D77" s="35">
        <v>13666586268</v>
      </c>
      <c r="E77" s="35" t="s">
        <v>168</v>
      </c>
      <c r="F77" s="35" t="s">
        <v>189</v>
      </c>
      <c r="G77" s="35" t="s">
        <v>843</v>
      </c>
      <c r="H77" s="35" t="s">
        <v>162</v>
      </c>
      <c r="I77" s="35"/>
      <c r="J77" s="56">
        <v>46013.7708333333</v>
      </c>
      <c r="K77" s="56" t="s">
        <v>171</v>
      </c>
      <c r="L77" s="35" t="s">
        <v>1209</v>
      </c>
      <c r="M77" s="35" t="s">
        <v>162</v>
      </c>
      <c r="N77" s="35"/>
      <c r="O77" s="35"/>
      <c r="P77" s="35"/>
      <c r="Q77" s="67" t="s">
        <v>1322</v>
      </c>
      <c r="R77" s="64" t="s">
        <v>1323</v>
      </c>
      <c r="S77" s="35" t="s">
        <v>1324</v>
      </c>
      <c r="T77" s="35"/>
      <c r="U77" s="35"/>
      <c r="V77" s="35"/>
      <c r="W77" s="35"/>
    </row>
    <row r="78" s="17" customFormat="1" spans="1:23">
      <c r="A78" s="35">
        <v>74</v>
      </c>
      <c r="B78" s="36">
        <v>46014</v>
      </c>
      <c r="C78" s="35" t="s">
        <v>1325</v>
      </c>
      <c r="D78" s="35">
        <v>15088828266</v>
      </c>
      <c r="E78" s="35" t="s">
        <v>159</v>
      </c>
      <c r="F78" s="35" t="s">
        <v>189</v>
      </c>
      <c r="G78" s="35" t="s">
        <v>843</v>
      </c>
      <c r="H78" s="35" t="s">
        <v>162</v>
      </c>
      <c r="I78" s="51"/>
      <c r="J78" s="56">
        <v>46016.5625</v>
      </c>
      <c r="K78" s="56" t="s">
        <v>296</v>
      </c>
      <c r="L78" s="35" t="s">
        <v>843</v>
      </c>
      <c r="M78" s="35" t="s">
        <v>162</v>
      </c>
      <c r="N78" s="35" t="s">
        <v>454</v>
      </c>
      <c r="O78" s="35">
        <v>399</v>
      </c>
      <c r="P78" s="122" t="s">
        <v>1326</v>
      </c>
      <c r="Q78" s="35" t="s">
        <v>1327</v>
      </c>
      <c r="R78" s="35"/>
      <c r="S78" s="35"/>
      <c r="T78" s="35"/>
      <c r="U78" s="35"/>
      <c r="V78" s="35"/>
      <c r="W78" s="35"/>
    </row>
    <row r="79" s="17" customFormat="1" spans="1:23">
      <c r="A79" s="35">
        <v>75</v>
      </c>
      <c r="B79" s="36">
        <v>46016</v>
      </c>
      <c r="C79" s="35" t="s">
        <v>1328</v>
      </c>
      <c r="D79" s="35">
        <v>15158341657</v>
      </c>
      <c r="E79" s="35" t="s">
        <v>168</v>
      </c>
      <c r="F79" s="35" t="s">
        <v>169</v>
      </c>
      <c r="G79" s="35"/>
      <c r="H79" s="35" t="s">
        <v>200</v>
      </c>
      <c r="I79" s="51"/>
      <c r="J79" s="56"/>
      <c r="K79" s="56"/>
      <c r="L79" s="35"/>
      <c r="M79" s="35"/>
      <c r="N79" s="35"/>
      <c r="O79" s="35"/>
      <c r="P79" s="38"/>
      <c r="Q79" s="35"/>
      <c r="R79" s="35"/>
      <c r="S79" s="35"/>
      <c r="T79" s="35"/>
      <c r="U79" s="35"/>
      <c r="V79" s="35"/>
      <c r="W79" s="35"/>
    </row>
    <row r="80" s="17" customFormat="1" spans="1:23">
      <c r="A80" s="35">
        <v>76</v>
      </c>
      <c r="B80" s="36">
        <v>46016</v>
      </c>
      <c r="C80" s="35" t="s">
        <v>769</v>
      </c>
      <c r="D80" s="35">
        <v>15121371180</v>
      </c>
      <c r="E80" s="35" t="s">
        <v>168</v>
      </c>
      <c r="F80" s="35" t="s">
        <v>189</v>
      </c>
      <c r="G80" s="35"/>
      <c r="H80" s="35" t="s">
        <v>200</v>
      </c>
      <c r="I80" s="68"/>
      <c r="J80" s="56"/>
      <c r="K80" s="56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</row>
    <row r="81" s="17" customFormat="1" spans="1:23">
      <c r="A81" s="35">
        <v>77</v>
      </c>
      <c r="B81" s="36">
        <v>46019</v>
      </c>
      <c r="C81" s="35" t="s">
        <v>1329</v>
      </c>
      <c r="D81" s="35">
        <v>13957851790</v>
      </c>
      <c r="E81" s="35" t="s">
        <v>178</v>
      </c>
      <c r="F81" s="35" t="s">
        <v>267</v>
      </c>
      <c r="G81" s="35" t="s">
        <v>1236</v>
      </c>
      <c r="H81" s="35" t="s">
        <v>162</v>
      </c>
      <c r="I81" s="62"/>
      <c r="J81" s="56">
        <v>46021.75</v>
      </c>
      <c r="K81" s="56" t="s">
        <v>678</v>
      </c>
      <c r="L81" s="35" t="s">
        <v>502</v>
      </c>
      <c r="M81" s="35"/>
      <c r="N81" s="35" t="s">
        <v>1268</v>
      </c>
      <c r="O81" s="35">
        <v>199</v>
      </c>
      <c r="P81" s="121" t="s">
        <v>1330</v>
      </c>
      <c r="Q81" s="35"/>
      <c r="R81" s="35"/>
      <c r="S81" s="35"/>
      <c r="T81" s="35"/>
      <c r="U81" s="35"/>
      <c r="V81" s="35"/>
      <c r="W81" s="35"/>
    </row>
    <row r="82" s="20" customFormat="1" spans="1:23">
      <c r="A82" s="35">
        <v>78</v>
      </c>
      <c r="B82" s="57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</row>
    <row r="83" s="20" customFormat="1" spans="1:23">
      <c r="A83" s="35">
        <v>79</v>
      </c>
      <c r="B83" s="69">
        <v>46024</v>
      </c>
      <c r="C83" s="70" t="s">
        <v>1331</v>
      </c>
      <c r="D83" s="70"/>
      <c r="E83" s="70" t="s">
        <v>315</v>
      </c>
      <c r="F83" s="70" t="s">
        <v>189</v>
      </c>
      <c r="G83" s="70"/>
      <c r="H83" s="70" t="s">
        <v>200</v>
      </c>
      <c r="I83" s="70" t="s">
        <v>549</v>
      </c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</row>
    <row r="84" s="20" customFormat="1" spans="1:23">
      <c r="A84" s="35">
        <v>80</v>
      </c>
      <c r="B84" s="69">
        <v>46024</v>
      </c>
      <c r="C84" s="70" t="s">
        <v>1332</v>
      </c>
      <c r="D84" s="70">
        <v>13336650624</v>
      </c>
      <c r="E84" s="70" t="s">
        <v>1333</v>
      </c>
      <c r="F84" s="70" t="s">
        <v>189</v>
      </c>
      <c r="G84" s="70"/>
      <c r="H84" s="70" t="s">
        <v>200</v>
      </c>
      <c r="I84" s="70" t="s">
        <v>1334</v>
      </c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</row>
    <row r="85" s="17" customFormat="1" spans="1:23">
      <c r="A85" s="35">
        <v>81</v>
      </c>
      <c r="B85" s="36">
        <v>46027</v>
      </c>
      <c r="C85" s="35" t="s">
        <v>1335</v>
      </c>
      <c r="D85" s="35">
        <v>15958890397</v>
      </c>
      <c r="E85" s="35" t="s">
        <v>693</v>
      </c>
      <c r="F85" s="35" t="s">
        <v>396</v>
      </c>
      <c r="G85" s="35" t="s">
        <v>1229</v>
      </c>
      <c r="H85" s="35" t="s">
        <v>162</v>
      </c>
      <c r="I85" s="35"/>
      <c r="J85" s="56">
        <v>46028.75</v>
      </c>
      <c r="K85" s="35" t="s">
        <v>1336</v>
      </c>
      <c r="L85" s="35" t="s">
        <v>502</v>
      </c>
      <c r="M85" s="35"/>
      <c r="N85" s="35"/>
      <c r="O85" s="35"/>
      <c r="P85" s="35"/>
      <c r="Q85" s="64" t="s">
        <v>1288</v>
      </c>
      <c r="R85" s="64">
        <v>199</v>
      </c>
      <c r="S85" s="35"/>
      <c r="T85" s="35"/>
      <c r="U85" s="35"/>
      <c r="V85" s="35"/>
      <c r="W85" s="35"/>
    </row>
    <row r="86" s="17" customFormat="1" spans="1:23">
      <c r="A86" s="35">
        <v>83</v>
      </c>
      <c r="B86" s="36">
        <v>46028</v>
      </c>
      <c r="C86" s="35" t="s">
        <v>1337</v>
      </c>
      <c r="D86" s="35">
        <v>15888003599</v>
      </c>
      <c r="E86" s="35" t="s">
        <v>168</v>
      </c>
      <c r="F86" s="35" t="s">
        <v>169</v>
      </c>
      <c r="G86" s="35"/>
      <c r="H86" s="35" t="s">
        <v>200</v>
      </c>
      <c r="I86" s="35" t="s">
        <v>534</v>
      </c>
      <c r="J86" s="56"/>
      <c r="K86" s="35"/>
      <c r="L86" s="35"/>
      <c r="M86" s="35"/>
      <c r="N86" s="35"/>
      <c r="O86" s="35"/>
      <c r="P86" s="35"/>
      <c r="Q86" s="64"/>
      <c r="R86" s="64"/>
      <c r="S86" s="35"/>
      <c r="T86" s="35"/>
      <c r="U86" s="35"/>
      <c r="V86" s="35"/>
      <c r="W86" s="35"/>
    </row>
    <row r="87" s="17" customFormat="1" spans="1:23">
      <c r="A87" s="35">
        <v>84</v>
      </c>
      <c r="B87" s="36">
        <v>46030</v>
      </c>
      <c r="C87" s="35" t="s">
        <v>1338</v>
      </c>
      <c r="D87" s="35">
        <v>13566551921</v>
      </c>
      <c r="E87" s="35" t="s">
        <v>550</v>
      </c>
      <c r="F87" s="35" t="s">
        <v>189</v>
      </c>
      <c r="G87" s="35" t="s">
        <v>1236</v>
      </c>
      <c r="H87" s="35" t="s">
        <v>162</v>
      </c>
      <c r="I87" s="35"/>
      <c r="J87" s="56">
        <v>46031.5</v>
      </c>
      <c r="K87" s="35" t="s">
        <v>171</v>
      </c>
      <c r="L87" s="35" t="s">
        <v>264</v>
      </c>
      <c r="M87" s="35"/>
      <c r="N87" s="35" t="s">
        <v>1339</v>
      </c>
      <c r="O87" s="35">
        <v>73</v>
      </c>
      <c r="P87" s="121" t="s">
        <v>1340</v>
      </c>
      <c r="Q87" s="35"/>
      <c r="R87" s="35"/>
      <c r="S87" s="35"/>
      <c r="T87" s="35"/>
      <c r="U87" s="35"/>
      <c r="V87" s="35"/>
      <c r="W87" s="35"/>
    </row>
    <row r="88" s="17" customFormat="1" spans="1:23">
      <c r="A88" s="35">
        <v>85</v>
      </c>
      <c r="B88" s="36">
        <v>46030</v>
      </c>
      <c r="C88" s="35" t="s">
        <v>1341</v>
      </c>
      <c r="D88" s="35">
        <v>13566304980</v>
      </c>
      <c r="E88" s="35" t="s">
        <v>1342</v>
      </c>
      <c r="F88" s="35" t="s">
        <v>169</v>
      </c>
      <c r="G88" s="35" t="s">
        <v>719</v>
      </c>
      <c r="H88" s="35" t="s">
        <v>162</v>
      </c>
      <c r="I88" s="35"/>
      <c r="J88" s="56">
        <v>46030.8125</v>
      </c>
      <c r="K88" s="35" t="s">
        <v>171</v>
      </c>
      <c r="L88" s="35" t="s">
        <v>1343</v>
      </c>
      <c r="M88" s="35"/>
      <c r="N88" s="35" t="s">
        <v>1268</v>
      </c>
      <c r="O88" s="35">
        <v>157.79</v>
      </c>
      <c r="P88" s="121" t="s">
        <v>1344</v>
      </c>
      <c r="Q88" s="35"/>
      <c r="R88" s="35"/>
      <c r="S88" s="35"/>
      <c r="T88" s="35"/>
      <c r="U88" s="35"/>
      <c r="V88" s="35"/>
      <c r="W88" s="35"/>
    </row>
    <row r="89" s="17" customFormat="1" spans="1:23">
      <c r="A89" s="35">
        <v>87</v>
      </c>
      <c r="B89" s="36">
        <v>46030</v>
      </c>
      <c r="C89" s="35" t="s">
        <v>1274</v>
      </c>
      <c r="D89" s="35">
        <v>18815282350</v>
      </c>
      <c r="E89" s="35" t="s">
        <v>168</v>
      </c>
      <c r="F89" s="35" t="s">
        <v>169</v>
      </c>
      <c r="G89" s="35"/>
      <c r="H89" s="35" t="s">
        <v>200</v>
      </c>
      <c r="I89" s="35" t="s">
        <v>1345</v>
      </c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</row>
    <row r="90" s="17" customFormat="1" spans="1:23">
      <c r="A90" s="35">
        <v>88</v>
      </c>
      <c r="B90" s="36">
        <v>46031</v>
      </c>
      <c r="C90" s="35" t="s">
        <v>1346</v>
      </c>
      <c r="D90" s="35">
        <v>15212062773</v>
      </c>
      <c r="E90" s="35" t="s">
        <v>168</v>
      </c>
      <c r="F90" s="35" t="s">
        <v>169</v>
      </c>
      <c r="G90" s="35"/>
      <c r="H90" s="35" t="s">
        <v>200</v>
      </c>
      <c r="I90" s="35" t="s">
        <v>1347</v>
      </c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</row>
    <row r="91" s="17" customFormat="1" spans="1:23">
      <c r="A91" s="35">
        <v>89</v>
      </c>
      <c r="B91" s="36">
        <v>46031</v>
      </c>
      <c r="C91" s="35" t="s">
        <v>1348</v>
      </c>
      <c r="D91" s="35">
        <v>18758327799</v>
      </c>
      <c r="E91" s="35" t="s">
        <v>168</v>
      </c>
      <c r="F91" s="35" t="s">
        <v>189</v>
      </c>
      <c r="G91" s="35" t="s">
        <v>843</v>
      </c>
      <c r="H91" s="35" t="s">
        <v>162</v>
      </c>
      <c r="I91" s="35"/>
      <c r="J91" s="56">
        <v>46031.8194444444</v>
      </c>
      <c r="K91" s="35" t="s">
        <v>1216</v>
      </c>
      <c r="L91" s="35" t="s">
        <v>248</v>
      </c>
      <c r="M91" s="35"/>
      <c r="N91" s="35" t="s">
        <v>1339</v>
      </c>
      <c r="O91" s="35">
        <v>79</v>
      </c>
      <c r="P91" s="121" t="s">
        <v>1349</v>
      </c>
      <c r="Q91" s="35"/>
      <c r="R91" s="35"/>
      <c r="S91" s="35"/>
      <c r="T91" s="35"/>
      <c r="U91" s="35"/>
      <c r="V91" s="35"/>
      <c r="W91" s="35"/>
    </row>
    <row r="92" s="17" customFormat="1" spans="1:23">
      <c r="A92" s="35">
        <v>90</v>
      </c>
      <c r="B92" s="36">
        <v>46031</v>
      </c>
      <c r="C92" s="35" t="s">
        <v>1350</v>
      </c>
      <c r="D92" s="35">
        <v>15267859909</v>
      </c>
      <c r="E92" s="35" t="s">
        <v>339</v>
      </c>
      <c r="F92" s="35" t="s">
        <v>189</v>
      </c>
      <c r="G92" s="35" t="s">
        <v>1351</v>
      </c>
      <c r="H92" s="35" t="s">
        <v>162</v>
      </c>
      <c r="I92" s="35" t="s">
        <v>1352</v>
      </c>
      <c r="J92" s="56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</row>
    <row r="93" s="17" customFormat="1" spans="1:23">
      <c r="A93" s="35">
        <v>91</v>
      </c>
      <c r="B93" s="36">
        <v>46032</v>
      </c>
      <c r="C93" s="35" t="s">
        <v>1353</v>
      </c>
      <c r="D93" s="35">
        <v>15168136442</v>
      </c>
      <c r="E93" s="35" t="s">
        <v>168</v>
      </c>
      <c r="F93" s="35" t="s">
        <v>189</v>
      </c>
      <c r="G93" s="35"/>
      <c r="H93" s="35" t="s">
        <v>162</v>
      </c>
      <c r="I93" s="35" t="s">
        <v>1354</v>
      </c>
      <c r="J93" s="56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</row>
    <row r="94" s="17" customFormat="1" spans="1:23">
      <c r="A94" s="35">
        <v>92</v>
      </c>
      <c r="B94" s="36">
        <v>46033</v>
      </c>
      <c r="C94" s="35" t="s">
        <v>1355</v>
      </c>
      <c r="D94" s="35">
        <v>18667871816</v>
      </c>
      <c r="E94" s="35" t="s">
        <v>773</v>
      </c>
      <c r="F94" s="35" t="s">
        <v>189</v>
      </c>
      <c r="G94" s="35" t="s">
        <v>1236</v>
      </c>
      <c r="H94" s="35" t="s">
        <v>162</v>
      </c>
      <c r="I94" s="35"/>
      <c r="J94" s="56">
        <v>46033.7222222222</v>
      </c>
      <c r="K94" s="35" t="s">
        <v>678</v>
      </c>
      <c r="L94" s="35" t="s">
        <v>177</v>
      </c>
      <c r="M94" s="35" t="s">
        <v>162</v>
      </c>
      <c r="N94" s="35" t="s">
        <v>1268</v>
      </c>
      <c r="O94" s="35">
        <v>197.81</v>
      </c>
      <c r="P94" s="121" t="s">
        <v>1356</v>
      </c>
      <c r="Q94" s="35" t="s">
        <v>1357</v>
      </c>
      <c r="R94" s="35">
        <v>4399</v>
      </c>
      <c r="S94" s="35"/>
      <c r="T94" s="35"/>
      <c r="U94" s="35"/>
      <c r="V94" s="35"/>
      <c r="W94" s="35"/>
    </row>
    <row r="95" s="17" customFormat="1" spans="1:23">
      <c r="A95" s="35">
        <v>93</v>
      </c>
      <c r="B95" s="36">
        <v>46034</v>
      </c>
      <c r="C95" s="35" t="s">
        <v>1358</v>
      </c>
      <c r="D95" s="35">
        <v>19857898361</v>
      </c>
      <c r="E95" s="35" t="s">
        <v>693</v>
      </c>
      <c r="F95" s="35" t="s">
        <v>189</v>
      </c>
      <c r="G95" s="35"/>
      <c r="H95" s="35" t="s">
        <v>200</v>
      </c>
      <c r="I95" s="35" t="s">
        <v>549</v>
      </c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</row>
    <row r="96" s="17" customFormat="1" spans="1:23">
      <c r="A96" s="35">
        <v>94</v>
      </c>
      <c r="B96" s="36">
        <v>46035</v>
      </c>
      <c r="C96" s="35" t="s">
        <v>1359</v>
      </c>
      <c r="D96" s="35">
        <v>13396931492</v>
      </c>
      <c r="E96" s="35" t="s">
        <v>584</v>
      </c>
      <c r="F96" s="35" t="s">
        <v>189</v>
      </c>
      <c r="G96" s="35" t="s">
        <v>1209</v>
      </c>
      <c r="H96" s="35" t="s">
        <v>162</v>
      </c>
      <c r="I96" s="35"/>
      <c r="J96" s="56">
        <v>46040.7222222222</v>
      </c>
      <c r="K96" s="35" t="s">
        <v>678</v>
      </c>
      <c r="L96" s="35" t="s">
        <v>177</v>
      </c>
      <c r="M96" s="35"/>
      <c r="N96" s="35" t="s">
        <v>335</v>
      </c>
      <c r="O96" s="35">
        <v>34</v>
      </c>
      <c r="P96" s="121" t="s">
        <v>1360</v>
      </c>
      <c r="Q96" s="35"/>
      <c r="R96" s="35"/>
      <c r="S96" s="35"/>
      <c r="T96" s="35"/>
      <c r="U96" s="35"/>
      <c r="V96" s="35"/>
      <c r="W96" s="35"/>
    </row>
    <row r="97" s="17" customFormat="1" spans="1:23">
      <c r="A97" s="35">
        <v>95</v>
      </c>
      <c r="B97" s="36">
        <v>46035</v>
      </c>
      <c r="C97" s="35" t="s">
        <v>1176</v>
      </c>
      <c r="D97" s="35">
        <v>18858043445</v>
      </c>
      <c r="E97" s="35" t="s">
        <v>195</v>
      </c>
      <c r="F97" s="35" t="s">
        <v>169</v>
      </c>
      <c r="G97" s="35" t="s">
        <v>1209</v>
      </c>
      <c r="H97" s="35" t="s">
        <v>200</v>
      </c>
      <c r="I97" s="35" t="s">
        <v>1361</v>
      </c>
      <c r="J97" s="56">
        <v>46037.5</v>
      </c>
      <c r="K97" s="35" t="s">
        <v>1362</v>
      </c>
      <c r="L97" s="35" t="s">
        <v>719</v>
      </c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</row>
    <row r="98" spans="1:23">
      <c r="A98" s="35">
        <v>96</v>
      </c>
      <c r="B98" s="36">
        <v>46037</v>
      </c>
      <c r="C98" s="35" t="s">
        <v>1363</v>
      </c>
      <c r="D98" s="35">
        <v>13011084599</v>
      </c>
      <c r="E98" s="35" t="s">
        <v>315</v>
      </c>
      <c r="F98" s="35" t="s">
        <v>169</v>
      </c>
      <c r="G98" s="35" t="s">
        <v>1236</v>
      </c>
      <c r="H98" s="35" t="s">
        <v>162</v>
      </c>
      <c r="I98" s="35"/>
      <c r="J98" s="56">
        <v>46038.5069444444</v>
      </c>
      <c r="K98" s="35" t="s">
        <v>196</v>
      </c>
      <c r="L98" s="35" t="s">
        <v>172</v>
      </c>
      <c r="M98" s="35" t="s">
        <v>162</v>
      </c>
      <c r="N98" s="35" t="s">
        <v>1268</v>
      </c>
      <c r="O98" s="35">
        <v>182.4</v>
      </c>
      <c r="P98" s="121" t="s">
        <v>1364</v>
      </c>
      <c r="Q98" s="35" t="s">
        <v>443</v>
      </c>
      <c r="R98" s="35">
        <v>3560</v>
      </c>
      <c r="S98" s="35"/>
      <c r="T98" s="35"/>
      <c r="U98" s="35"/>
      <c r="V98" s="35"/>
      <c r="W98" s="35"/>
    </row>
    <row r="99" customFormat="1" spans="1:23">
      <c r="A99" s="35">
        <v>97</v>
      </c>
      <c r="B99" s="36">
        <v>46037</v>
      </c>
      <c r="C99" s="35" t="s">
        <v>1365</v>
      </c>
      <c r="D99" s="35">
        <v>13738487303</v>
      </c>
      <c r="E99" s="35" t="s">
        <v>1366</v>
      </c>
      <c r="F99" s="35" t="s">
        <v>189</v>
      </c>
      <c r="G99" s="35"/>
      <c r="H99" s="35" t="s">
        <v>200</v>
      </c>
      <c r="I99" s="35" t="s">
        <v>582</v>
      </c>
      <c r="J99" s="56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</row>
    <row r="100" s="17" customFormat="1" spans="1:23">
      <c r="A100" s="35">
        <v>98</v>
      </c>
      <c r="B100" s="36">
        <v>46038</v>
      </c>
      <c r="C100" s="35" t="s">
        <v>1367</v>
      </c>
      <c r="D100" s="35">
        <v>15867223593</v>
      </c>
      <c r="E100" s="35" t="s">
        <v>168</v>
      </c>
      <c r="F100" s="35" t="s">
        <v>169</v>
      </c>
      <c r="G100" s="35" t="s">
        <v>1236</v>
      </c>
      <c r="H100" s="35" t="s">
        <v>162</v>
      </c>
      <c r="I100" s="35"/>
      <c r="J100" s="56">
        <v>46040.5069444444</v>
      </c>
      <c r="K100" s="35" t="s">
        <v>171</v>
      </c>
      <c r="L100" s="35" t="s">
        <v>1209</v>
      </c>
      <c r="M100" s="35"/>
      <c r="N100" s="35" t="s">
        <v>1268</v>
      </c>
      <c r="O100" s="35">
        <v>182.4</v>
      </c>
      <c r="P100" s="121" t="s">
        <v>1368</v>
      </c>
      <c r="Q100" s="35"/>
      <c r="R100" s="35"/>
      <c r="S100" s="35"/>
      <c r="T100" s="35"/>
      <c r="U100" s="35"/>
      <c r="V100" s="35"/>
      <c r="W100" s="35"/>
    </row>
    <row r="101" s="17" customFormat="1" spans="1:23">
      <c r="A101" s="35">
        <v>99</v>
      </c>
      <c r="B101" s="36">
        <v>46038</v>
      </c>
      <c r="C101" s="35" t="s">
        <v>1296</v>
      </c>
      <c r="D101" s="35">
        <v>13736166872</v>
      </c>
      <c r="E101" s="35" t="s">
        <v>1297</v>
      </c>
      <c r="F101" s="35" t="s">
        <v>267</v>
      </c>
      <c r="G101" s="35" t="s">
        <v>1229</v>
      </c>
      <c r="H101" s="35" t="s">
        <v>162</v>
      </c>
      <c r="I101" s="35" t="s">
        <v>1369</v>
      </c>
      <c r="J101" s="56">
        <v>46039.7222222222</v>
      </c>
      <c r="K101" s="35" t="s">
        <v>1370</v>
      </c>
      <c r="L101" s="35" t="s">
        <v>502</v>
      </c>
      <c r="M101" s="35"/>
      <c r="N101" s="35"/>
      <c r="O101" s="35"/>
      <c r="P101" s="35"/>
      <c r="Q101" s="64" t="s">
        <v>1288</v>
      </c>
      <c r="R101" s="64">
        <v>199</v>
      </c>
      <c r="S101" s="35"/>
      <c r="T101" s="35"/>
      <c r="U101" s="35"/>
      <c r="V101" s="35"/>
      <c r="W101" s="35"/>
    </row>
    <row r="102" s="17" customFormat="1" spans="1:23">
      <c r="A102" s="35">
        <v>100</v>
      </c>
      <c r="B102" s="36">
        <v>46038</v>
      </c>
      <c r="C102" s="64" t="s">
        <v>1306</v>
      </c>
      <c r="D102" s="64">
        <v>15988652399</v>
      </c>
      <c r="E102" s="35" t="s">
        <v>168</v>
      </c>
      <c r="F102" s="64" t="s">
        <v>396</v>
      </c>
      <c r="G102" s="35" t="s">
        <v>719</v>
      </c>
      <c r="H102" s="35" t="s">
        <v>162</v>
      </c>
      <c r="I102" s="35" t="s">
        <v>1369</v>
      </c>
      <c r="J102" s="56">
        <v>46044.4930555556</v>
      </c>
      <c r="K102" s="35" t="s">
        <v>171</v>
      </c>
      <c r="L102" s="35" t="s">
        <v>1229</v>
      </c>
      <c r="M102" s="35"/>
      <c r="N102" s="35"/>
      <c r="O102" s="35"/>
      <c r="P102" s="35"/>
      <c r="Q102" s="64" t="s">
        <v>1288</v>
      </c>
      <c r="R102" s="64">
        <v>199</v>
      </c>
      <c r="S102" s="35"/>
      <c r="T102" s="35"/>
      <c r="U102" s="35"/>
      <c r="V102" s="35"/>
      <c r="W102" s="35"/>
    </row>
    <row r="103" s="17" customFormat="1" spans="1:23">
      <c r="A103" s="35">
        <v>101</v>
      </c>
      <c r="B103" s="36">
        <v>46038</v>
      </c>
      <c r="C103" s="35" t="s">
        <v>1371</v>
      </c>
      <c r="D103" s="35">
        <v>13506690978</v>
      </c>
      <c r="E103" s="35" t="s">
        <v>1372</v>
      </c>
      <c r="F103" s="35" t="s">
        <v>189</v>
      </c>
      <c r="G103" s="35" t="s">
        <v>1209</v>
      </c>
      <c r="H103" s="35" t="s">
        <v>162</v>
      </c>
      <c r="I103" s="35"/>
      <c r="J103" s="56">
        <v>46039.7708333333</v>
      </c>
      <c r="K103" s="35" t="s">
        <v>1216</v>
      </c>
      <c r="L103" s="35" t="s">
        <v>248</v>
      </c>
      <c r="M103" s="35"/>
      <c r="N103" s="35" t="s">
        <v>1339</v>
      </c>
      <c r="O103" s="35">
        <v>73</v>
      </c>
      <c r="P103" s="121" t="s">
        <v>1373</v>
      </c>
      <c r="Q103" s="35"/>
      <c r="R103" s="35"/>
      <c r="S103" s="35"/>
      <c r="T103" s="35"/>
      <c r="U103" s="35"/>
      <c r="V103" s="35"/>
      <c r="W103" s="35"/>
    </row>
    <row r="104" s="17" customFormat="1" spans="1:23">
      <c r="A104" s="35">
        <v>102</v>
      </c>
      <c r="B104" s="36">
        <v>46038</v>
      </c>
      <c r="C104" s="35" t="s">
        <v>1374</v>
      </c>
      <c r="D104" s="35">
        <v>13685848647</v>
      </c>
      <c r="E104" s="35" t="s">
        <v>725</v>
      </c>
      <c r="F104" s="35" t="s">
        <v>189</v>
      </c>
      <c r="G104" s="35" t="s">
        <v>1236</v>
      </c>
      <c r="H104" s="35" t="s">
        <v>162</v>
      </c>
      <c r="I104" s="35"/>
      <c r="J104" s="56">
        <v>46041.5</v>
      </c>
      <c r="K104" s="35" t="s">
        <v>289</v>
      </c>
      <c r="L104" s="35" t="s">
        <v>435</v>
      </c>
      <c r="M104" s="35" t="s">
        <v>162</v>
      </c>
      <c r="N104" s="35" t="s">
        <v>1339</v>
      </c>
      <c r="O104" s="35">
        <v>73</v>
      </c>
      <c r="P104" s="121" t="s">
        <v>1375</v>
      </c>
      <c r="Q104" s="35" t="s">
        <v>1376</v>
      </c>
      <c r="R104" s="35">
        <v>14916</v>
      </c>
      <c r="S104" s="35"/>
      <c r="T104" s="35"/>
      <c r="U104" s="35"/>
      <c r="V104" s="35"/>
      <c r="W104" s="35"/>
    </row>
    <row r="105" s="17" customFormat="1" spans="1:23">
      <c r="A105" s="35">
        <v>103</v>
      </c>
      <c r="B105" s="36">
        <v>46038</v>
      </c>
      <c r="C105" s="35" t="s">
        <v>1377</v>
      </c>
      <c r="D105" s="35">
        <v>15879846300</v>
      </c>
      <c r="E105" s="35" t="s">
        <v>584</v>
      </c>
      <c r="F105" s="35" t="s">
        <v>169</v>
      </c>
      <c r="G105" s="35"/>
      <c r="H105" s="35" t="s">
        <v>200</v>
      </c>
      <c r="I105" s="35" t="s">
        <v>1378</v>
      </c>
      <c r="J105" s="56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</row>
    <row r="106" s="17" customFormat="1" spans="1:23">
      <c r="A106" s="35">
        <v>104</v>
      </c>
      <c r="B106" s="36">
        <v>46038</v>
      </c>
      <c r="C106" s="35" t="s">
        <v>207</v>
      </c>
      <c r="D106" s="35">
        <v>18158519140</v>
      </c>
      <c r="E106" s="35" t="s">
        <v>1379</v>
      </c>
      <c r="F106" s="35" t="s">
        <v>169</v>
      </c>
      <c r="G106" s="35" t="s">
        <v>1229</v>
      </c>
      <c r="H106" s="35" t="s">
        <v>162</v>
      </c>
      <c r="I106" s="35" t="s">
        <v>1380</v>
      </c>
      <c r="J106" s="56">
        <v>46041.8125</v>
      </c>
      <c r="K106" s="35" t="s">
        <v>1381</v>
      </c>
      <c r="L106" s="35" t="s">
        <v>164</v>
      </c>
      <c r="M106" s="35"/>
      <c r="N106" s="35" t="s">
        <v>1268</v>
      </c>
      <c r="O106" s="35">
        <v>164.44</v>
      </c>
      <c r="P106" s="124" t="s">
        <v>1382</v>
      </c>
      <c r="Q106" s="35"/>
      <c r="R106" s="35"/>
      <c r="S106" s="35"/>
      <c r="T106" s="35"/>
      <c r="U106" s="35"/>
      <c r="V106" s="35"/>
      <c r="W106" s="35"/>
    </row>
    <row r="107" spans="1:23">
      <c r="A107" s="35">
        <v>105</v>
      </c>
      <c r="B107" s="36">
        <v>46039</v>
      </c>
      <c r="C107" s="35" t="s">
        <v>1082</v>
      </c>
      <c r="D107" s="35">
        <v>18840916525</v>
      </c>
      <c r="E107" s="35" t="s">
        <v>693</v>
      </c>
      <c r="F107" s="35" t="s">
        <v>189</v>
      </c>
      <c r="G107" s="35" t="s">
        <v>719</v>
      </c>
      <c r="H107" s="35" t="s">
        <v>162</v>
      </c>
      <c r="I107" s="35"/>
      <c r="J107" s="56">
        <v>46040.6666666667</v>
      </c>
      <c r="K107" s="35" t="s">
        <v>196</v>
      </c>
      <c r="L107" s="35" t="s">
        <v>719</v>
      </c>
      <c r="M107" s="35"/>
      <c r="N107" s="35" t="s">
        <v>1268</v>
      </c>
      <c r="O107" s="35">
        <v>189.05</v>
      </c>
      <c r="P107" s="121" t="s">
        <v>1383</v>
      </c>
      <c r="Q107" s="35"/>
      <c r="R107" s="35"/>
      <c r="S107" s="35"/>
      <c r="T107" s="35"/>
      <c r="U107" s="35"/>
      <c r="V107" s="35"/>
      <c r="W107" s="35"/>
    </row>
    <row r="108" spans="1:23">
      <c r="A108" s="35">
        <v>106</v>
      </c>
      <c r="B108" s="36">
        <v>46040</v>
      </c>
      <c r="C108" s="35" t="s">
        <v>560</v>
      </c>
      <c r="D108" s="35">
        <v>18657462625</v>
      </c>
      <c r="E108" s="35" t="s">
        <v>1384</v>
      </c>
      <c r="F108" s="35" t="s">
        <v>189</v>
      </c>
      <c r="G108" s="35" t="s">
        <v>1209</v>
      </c>
      <c r="H108" s="35" t="s">
        <v>162</v>
      </c>
      <c r="I108" s="35"/>
      <c r="J108" s="56">
        <v>46042.5069444444</v>
      </c>
      <c r="K108" s="35" t="s">
        <v>171</v>
      </c>
      <c r="L108" s="35" t="s">
        <v>1209</v>
      </c>
      <c r="M108" s="35"/>
      <c r="N108" s="35" t="s">
        <v>1385</v>
      </c>
      <c r="O108" s="35">
        <v>1399</v>
      </c>
      <c r="P108" s="121" t="s">
        <v>1386</v>
      </c>
      <c r="Q108" s="35"/>
      <c r="R108" s="35"/>
      <c r="S108" s="35"/>
      <c r="T108" s="35"/>
      <c r="U108" s="35"/>
      <c r="V108" s="35"/>
      <c r="W108" s="35"/>
    </row>
    <row r="109" spans="1:23">
      <c r="A109" s="35">
        <v>107</v>
      </c>
      <c r="B109" s="36">
        <v>46041</v>
      </c>
      <c r="C109" s="35" t="s">
        <v>1387</v>
      </c>
      <c r="D109" s="35">
        <v>13362837553</v>
      </c>
      <c r="E109" s="35" t="s">
        <v>1388</v>
      </c>
      <c r="F109" s="35" t="s">
        <v>189</v>
      </c>
      <c r="G109" s="35" t="s">
        <v>1236</v>
      </c>
      <c r="H109" s="35" t="s">
        <v>162</v>
      </c>
      <c r="I109" s="35"/>
      <c r="J109" s="56">
        <v>46045.5069444444</v>
      </c>
      <c r="K109" s="35" t="s">
        <v>196</v>
      </c>
      <c r="L109" s="35" t="s">
        <v>172</v>
      </c>
      <c r="M109" s="35"/>
      <c r="N109" s="35" t="s">
        <v>1339</v>
      </c>
      <c r="O109" s="35">
        <v>75</v>
      </c>
      <c r="P109" s="121" t="s">
        <v>1389</v>
      </c>
      <c r="Q109" s="35" t="s">
        <v>1390</v>
      </c>
      <c r="R109" s="35"/>
      <c r="S109" s="35"/>
      <c r="T109" s="35"/>
      <c r="U109" s="35"/>
      <c r="V109" s="35"/>
      <c r="W109" s="35"/>
    </row>
    <row r="110" spans="1:23">
      <c r="A110" s="35">
        <v>108</v>
      </c>
      <c r="B110" s="36">
        <v>46041</v>
      </c>
      <c r="C110" s="35" t="s">
        <v>1391</v>
      </c>
      <c r="D110" s="35">
        <v>15158341657</v>
      </c>
      <c r="E110" s="35" t="s">
        <v>159</v>
      </c>
      <c r="F110" s="35" t="s">
        <v>396</v>
      </c>
      <c r="G110" s="35" t="s">
        <v>1236</v>
      </c>
      <c r="H110" s="35" t="s">
        <v>162</v>
      </c>
      <c r="I110" s="35"/>
      <c r="J110" s="56">
        <v>46041.6666666667</v>
      </c>
      <c r="K110" s="35" t="s">
        <v>296</v>
      </c>
      <c r="L110" s="35" t="s">
        <v>435</v>
      </c>
      <c r="M110" s="35"/>
      <c r="N110" s="35" t="s">
        <v>371</v>
      </c>
      <c r="O110" s="35">
        <v>228</v>
      </c>
      <c r="P110" s="121" t="s">
        <v>1392</v>
      </c>
      <c r="Q110" s="35"/>
      <c r="R110" s="35"/>
      <c r="S110" s="35"/>
      <c r="T110" s="35"/>
      <c r="U110" s="35"/>
      <c r="V110" s="35"/>
      <c r="W110" s="35"/>
    </row>
    <row r="111" spans="1:23">
      <c r="A111" s="35">
        <v>109</v>
      </c>
      <c r="B111" s="36">
        <v>46042</v>
      </c>
      <c r="C111" s="35" t="s">
        <v>1393</v>
      </c>
      <c r="D111" s="35">
        <v>15058456909</v>
      </c>
      <c r="E111" s="35" t="s">
        <v>315</v>
      </c>
      <c r="F111" s="35" t="s">
        <v>189</v>
      </c>
      <c r="G111" s="35"/>
      <c r="H111" s="35" t="s">
        <v>200</v>
      </c>
      <c r="I111" s="35" t="s">
        <v>722</v>
      </c>
      <c r="J111" s="56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</row>
    <row r="112" spans="1:23">
      <c r="A112" s="35">
        <v>110</v>
      </c>
      <c r="B112" s="36">
        <v>46043</v>
      </c>
      <c r="C112" s="35" t="s">
        <v>1394</v>
      </c>
      <c r="D112" s="35">
        <v>15757857397</v>
      </c>
      <c r="E112" s="35" t="s">
        <v>725</v>
      </c>
      <c r="F112" s="35" t="s">
        <v>169</v>
      </c>
      <c r="G112" s="35" t="s">
        <v>1236</v>
      </c>
      <c r="H112" s="35" t="s">
        <v>162</v>
      </c>
      <c r="I112" s="35"/>
      <c r="J112" s="56">
        <v>46046.6666666667</v>
      </c>
      <c r="K112" s="35" t="s">
        <v>171</v>
      </c>
      <c r="L112" s="35" t="s">
        <v>1247</v>
      </c>
      <c r="M112" s="35"/>
      <c r="N112" s="35" t="s">
        <v>1268</v>
      </c>
      <c r="O112" s="35">
        <v>189.05</v>
      </c>
      <c r="P112" s="121" t="s">
        <v>1395</v>
      </c>
      <c r="Q112" s="35"/>
      <c r="R112" s="35"/>
      <c r="S112" s="35"/>
      <c r="T112" s="35"/>
      <c r="U112" s="35"/>
      <c r="V112" s="35"/>
      <c r="W112" s="35"/>
    </row>
    <row r="113" spans="1:23">
      <c r="A113" s="35">
        <v>111</v>
      </c>
      <c r="B113" s="36">
        <v>46045</v>
      </c>
      <c r="C113" s="35" t="s">
        <v>1396</v>
      </c>
      <c r="D113" s="35">
        <v>18482060343</v>
      </c>
      <c r="E113" s="35" t="s">
        <v>1397</v>
      </c>
      <c r="F113" s="35" t="s">
        <v>169</v>
      </c>
      <c r="G113" s="35"/>
      <c r="H113" s="35" t="s">
        <v>200</v>
      </c>
      <c r="I113" s="35" t="s">
        <v>549</v>
      </c>
      <c r="J113" s="56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</row>
    <row r="114" spans="1:23">
      <c r="A114" s="35">
        <v>112</v>
      </c>
      <c r="B114" s="36">
        <v>46046</v>
      </c>
      <c r="C114" s="35" t="s">
        <v>1398</v>
      </c>
      <c r="D114" s="35">
        <v>15867567195</v>
      </c>
      <c r="E114" s="35" t="s">
        <v>315</v>
      </c>
      <c r="F114" s="35" t="s">
        <v>189</v>
      </c>
      <c r="G114" s="35" t="s">
        <v>1229</v>
      </c>
      <c r="H114" s="35" t="s">
        <v>162</v>
      </c>
      <c r="I114" s="35"/>
      <c r="J114" s="56">
        <v>46047.6666666667</v>
      </c>
      <c r="K114" s="35" t="s">
        <v>196</v>
      </c>
      <c r="L114" s="35" t="s">
        <v>719</v>
      </c>
      <c r="M114" s="35"/>
      <c r="N114" s="35" t="s">
        <v>662</v>
      </c>
      <c r="O114" s="35">
        <v>113</v>
      </c>
      <c r="P114" s="121" t="s">
        <v>1399</v>
      </c>
      <c r="Q114" s="35"/>
      <c r="R114" s="35"/>
      <c r="S114" s="35"/>
      <c r="T114" s="35"/>
      <c r="U114" s="35"/>
      <c r="V114" s="35"/>
      <c r="W114" s="35"/>
    </row>
    <row r="115" spans="1:23">
      <c r="A115" s="35">
        <v>113</v>
      </c>
      <c r="B115" s="36">
        <v>46046</v>
      </c>
      <c r="C115" s="35" t="s">
        <v>1400</v>
      </c>
      <c r="D115" s="35">
        <v>15205845092</v>
      </c>
      <c r="E115" s="35" t="s">
        <v>1366</v>
      </c>
      <c r="F115" s="35" t="s">
        <v>189</v>
      </c>
      <c r="G115" s="35" t="s">
        <v>1236</v>
      </c>
      <c r="H115" s="35" t="s">
        <v>162</v>
      </c>
      <c r="I115" s="35"/>
      <c r="J115" s="56">
        <v>46049.6041666667</v>
      </c>
      <c r="K115" s="35" t="s">
        <v>296</v>
      </c>
      <c r="L115" s="35" t="s">
        <v>843</v>
      </c>
      <c r="M115" s="35"/>
      <c r="N115" s="35" t="s">
        <v>468</v>
      </c>
      <c r="O115" s="35">
        <v>387</v>
      </c>
      <c r="P115" s="121" t="s">
        <v>1401</v>
      </c>
      <c r="Q115" s="35"/>
      <c r="R115" s="35"/>
      <c r="S115" s="35"/>
      <c r="T115" s="35"/>
      <c r="U115" s="35"/>
      <c r="V115" s="35"/>
      <c r="W115" s="35"/>
    </row>
    <row r="116" spans="1:23">
      <c r="A116" s="35">
        <v>114</v>
      </c>
      <c r="B116" s="36">
        <v>46046</v>
      </c>
      <c r="C116" s="35" t="s">
        <v>1402</v>
      </c>
      <c r="D116" s="35"/>
      <c r="E116" s="35" t="s">
        <v>315</v>
      </c>
      <c r="F116" s="35" t="s">
        <v>189</v>
      </c>
      <c r="G116" s="35"/>
      <c r="H116" s="35" t="s">
        <v>200</v>
      </c>
      <c r="I116" s="35" t="s">
        <v>722</v>
      </c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</row>
    <row r="117" spans="1:23">
      <c r="A117" s="35">
        <v>116</v>
      </c>
      <c r="B117" s="36">
        <v>46047</v>
      </c>
      <c r="C117" s="35" t="s">
        <v>246</v>
      </c>
      <c r="D117" s="35">
        <v>13394199995</v>
      </c>
      <c r="E117" s="35" t="s">
        <v>315</v>
      </c>
      <c r="F117" s="35" t="s">
        <v>169</v>
      </c>
      <c r="G117" s="35" t="s">
        <v>719</v>
      </c>
      <c r="H117" s="35" t="s">
        <v>200</v>
      </c>
      <c r="I117" s="51" t="s">
        <v>1403</v>
      </c>
      <c r="J117" s="56">
        <v>46049.5</v>
      </c>
      <c r="K117" s="35" t="s">
        <v>196</v>
      </c>
      <c r="L117" s="35" t="s">
        <v>719</v>
      </c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</row>
    <row r="118" spans="1:23">
      <c r="A118" s="35">
        <v>117</v>
      </c>
      <c r="B118" s="36">
        <v>46047</v>
      </c>
      <c r="C118" s="35" t="s">
        <v>1404</v>
      </c>
      <c r="D118" s="35"/>
      <c r="E118" s="35" t="s">
        <v>315</v>
      </c>
      <c r="F118" s="35"/>
      <c r="G118" s="35" t="s">
        <v>719</v>
      </c>
      <c r="H118" s="35" t="s">
        <v>200</v>
      </c>
      <c r="I118" s="66"/>
      <c r="J118" s="56">
        <v>46049.5</v>
      </c>
      <c r="K118" s="35" t="s">
        <v>196</v>
      </c>
      <c r="L118" s="35" t="s">
        <v>719</v>
      </c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</row>
    <row r="119" spans="1:23">
      <c r="A119" s="35">
        <v>118</v>
      </c>
      <c r="B119" s="36">
        <v>46047</v>
      </c>
      <c r="C119" s="35" t="s">
        <v>1405</v>
      </c>
      <c r="D119" s="35"/>
      <c r="E119" s="35" t="s">
        <v>315</v>
      </c>
      <c r="F119" s="35"/>
      <c r="G119" s="35" t="s">
        <v>719</v>
      </c>
      <c r="H119" s="35" t="s">
        <v>200</v>
      </c>
      <c r="I119" s="52"/>
      <c r="J119" s="56">
        <v>46049.5</v>
      </c>
      <c r="K119" s="35" t="s">
        <v>196</v>
      </c>
      <c r="L119" s="35" t="s">
        <v>719</v>
      </c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</row>
    <row r="120" spans="1:23">
      <c r="A120" s="35">
        <v>119</v>
      </c>
      <c r="B120" s="36">
        <v>46048</v>
      </c>
      <c r="C120" s="35" t="s">
        <v>1406</v>
      </c>
      <c r="D120" s="35">
        <v>18357497152</v>
      </c>
      <c r="E120" s="35" t="s">
        <v>584</v>
      </c>
      <c r="F120" s="35" t="s">
        <v>169</v>
      </c>
      <c r="G120" s="35" t="s">
        <v>1209</v>
      </c>
      <c r="H120" s="35" t="s">
        <v>162</v>
      </c>
      <c r="I120" s="35"/>
      <c r="J120" s="56">
        <v>46048.8125</v>
      </c>
      <c r="K120" s="35" t="s">
        <v>1407</v>
      </c>
      <c r="L120" s="35" t="s">
        <v>248</v>
      </c>
      <c r="M120" s="35"/>
      <c r="N120" s="35" t="s">
        <v>312</v>
      </c>
      <c r="O120" s="35">
        <v>51.93</v>
      </c>
      <c r="P120" s="121" t="s">
        <v>1408</v>
      </c>
      <c r="Q120" s="35"/>
      <c r="R120" s="35"/>
      <c r="S120" s="35"/>
      <c r="T120" s="35"/>
      <c r="U120" s="35"/>
      <c r="V120" s="35"/>
      <c r="W120" s="35"/>
    </row>
    <row r="121" spans="1:23">
      <c r="A121" s="35">
        <v>120</v>
      </c>
      <c r="B121" s="36">
        <v>46052</v>
      </c>
      <c r="C121" s="35" t="s">
        <v>1261</v>
      </c>
      <c r="D121" s="35">
        <v>15057414589</v>
      </c>
      <c r="E121" s="35" t="s">
        <v>584</v>
      </c>
      <c r="F121" s="35" t="s">
        <v>169</v>
      </c>
      <c r="G121" s="35" t="s">
        <v>1236</v>
      </c>
      <c r="H121" s="35" t="s">
        <v>162</v>
      </c>
      <c r="I121" s="35"/>
      <c r="J121" s="56">
        <v>46052.7638888889</v>
      </c>
      <c r="K121" s="35" t="s">
        <v>1244</v>
      </c>
      <c r="L121" s="35" t="s">
        <v>211</v>
      </c>
      <c r="M121" s="35"/>
      <c r="N121" s="35" t="s">
        <v>312</v>
      </c>
      <c r="O121" s="35">
        <v>51.93</v>
      </c>
      <c r="P121" s="121" t="s">
        <v>1409</v>
      </c>
      <c r="Q121" s="35"/>
      <c r="R121" s="35"/>
      <c r="S121" s="35"/>
      <c r="T121" s="35"/>
      <c r="U121" s="35"/>
      <c r="V121" s="35"/>
      <c r="W121" s="35"/>
    </row>
    <row r="122" s="18" customFormat="1" spans="1:23">
      <c r="A122" s="41">
        <v>121</v>
      </c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</row>
    <row r="123" spans="1:23">
      <c r="A123" s="35">
        <v>122</v>
      </c>
      <c r="B123" s="36">
        <v>46054</v>
      </c>
      <c r="C123" s="35" t="s">
        <v>1304</v>
      </c>
      <c r="D123" s="35">
        <v>13958228618</v>
      </c>
      <c r="E123" s="35" t="s">
        <v>168</v>
      </c>
      <c r="F123" s="35" t="s">
        <v>396</v>
      </c>
      <c r="G123" s="35" t="s">
        <v>1229</v>
      </c>
      <c r="H123" s="35" t="s">
        <v>162</v>
      </c>
      <c r="I123" s="35" t="s">
        <v>1410</v>
      </c>
      <c r="J123" s="56">
        <v>46055.7638888889</v>
      </c>
      <c r="K123" s="35" t="s">
        <v>1411</v>
      </c>
      <c r="L123" s="35" t="s">
        <v>719</v>
      </c>
      <c r="M123" s="35"/>
      <c r="N123" s="35"/>
      <c r="O123" s="35"/>
      <c r="P123" s="35"/>
      <c r="Q123" s="64" t="s">
        <v>1288</v>
      </c>
      <c r="R123" s="64">
        <v>199</v>
      </c>
      <c r="S123" s="35"/>
      <c r="T123" s="35"/>
      <c r="U123" s="35"/>
      <c r="V123" s="35"/>
      <c r="W123" s="35"/>
    </row>
    <row r="124" spans="1:23">
      <c r="A124" s="35">
        <v>123</v>
      </c>
      <c r="B124" s="36">
        <v>46054</v>
      </c>
      <c r="C124" s="35" t="s">
        <v>445</v>
      </c>
      <c r="D124" s="35">
        <v>13586558672</v>
      </c>
      <c r="E124" s="35" t="s">
        <v>315</v>
      </c>
      <c r="F124" s="35" t="s">
        <v>189</v>
      </c>
      <c r="G124" s="35" t="s">
        <v>719</v>
      </c>
      <c r="H124" s="35" t="s">
        <v>162</v>
      </c>
      <c r="I124" s="35"/>
      <c r="J124" s="56">
        <v>46056.5</v>
      </c>
      <c r="K124" s="35" t="s">
        <v>171</v>
      </c>
      <c r="L124" s="35" t="s">
        <v>742</v>
      </c>
      <c r="M124" s="35"/>
      <c r="N124" s="35" t="s">
        <v>662</v>
      </c>
      <c r="O124" s="35">
        <v>119</v>
      </c>
      <c r="P124" s="121" t="s">
        <v>1412</v>
      </c>
      <c r="Q124" s="35"/>
      <c r="R124" s="35"/>
      <c r="S124" s="35"/>
      <c r="T124" s="35"/>
      <c r="U124" s="35"/>
      <c r="V124" s="35"/>
      <c r="W124" s="35"/>
    </row>
    <row r="125" ht="47.25" spans="1:23">
      <c r="A125" s="35">
        <v>124</v>
      </c>
      <c r="B125" s="36">
        <v>46055</v>
      </c>
      <c r="C125" s="35" t="s">
        <v>1413</v>
      </c>
      <c r="D125" s="35">
        <v>19371949047</v>
      </c>
      <c r="E125" s="35" t="s">
        <v>1414</v>
      </c>
      <c r="F125" s="35" t="s">
        <v>189</v>
      </c>
      <c r="G125" s="35" t="s">
        <v>1209</v>
      </c>
      <c r="H125" s="35" t="s">
        <v>162</v>
      </c>
      <c r="I125" s="35"/>
      <c r="J125" s="56">
        <v>46056.7638888889</v>
      </c>
      <c r="K125" s="35" t="s">
        <v>171</v>
      </c>
      <c r="L125" s="35" t="s">
        <v>1247</v>
      </c>
      <c r="M125" s="35" t="s">
        <v>162</v>
      </c>
      <c r="N125" s="35" t="s">
        <v>1211</v>
      </c>
      <c r="O125" s="35">
        <v>189.99</v>
      </c>
      <c r="P125" s="38" t="s">
        <v>1415</v>
      </c>
      <c r="Q125" s="35" t="s">
        <v>1416</v>
      </c>
      <c r="R125" s="35">
        <v>3200</v>
      </c>
      <c r="S125" s="35"/>
      <c r="T125" s="35"/>
      <c r="U125" s="35"/>
      <c r="V125" s="35"/>
      <c r="W125" s="35"/>
    </row>
    <row r="126" spans="1:23">
      <c r="A126" s="35">
        <v>125</v>
      </c>
      <c r="B126" s="36">
        <v>46057</v>
      </c>
      <c r="C126" s="35" t="s">
        <v>1417</v>
      </c>
      <c r="D126" s="35">
        <v>18862246120</v>
      </c>
      <c r="E126" s="35" t="s">
        <v>1418</v>
      </c>
      <c r="F126" s="35" t="s">
        <v>189</v>
      </c>
      <c r="G126" s="35" t="s">
        <v>1209</v>
      </c>
      <c r="H126" s="35" t="s">
        <v>162</v>
      </c>
      <c r="I126" s="35"/>
      <c r="J126" s="56">
        <v>46057.7638888889</v>
      </c>
      <c r="K126" s="35" t="s">
        <v>296</v>
      </c>
      <c r="L126" s="35" t="s">
        <v>1209</v>
      </c>
      <c r="M126" s="35" t="s">
        <v>162</v>
      </c>
      <c r="N126" s="35" t="s">
        <v>468</v>
      </c>
      <c r="O126" s="35">
        <v>384</v>
      </c>
      <c r="P126" s="121" t="s">
        <v>1419</v>
      </c>
      <c r="Q126" s="35" t="s">
        <v>1420</v>
      </c>
      <c r="R126" s="35">
        <v>7280</v>
      </c>
      <c r="S126" s="35"/>
      <c r="T126" s="35"/>
      <c r="U126" s="35"/>
      <c r="V126" s="35"/>
      <c r="W126" s="35"/>
    </row>
    <row r="127" spans="1:23">
      <c r="A127" s="35">
        <v>126</v>
      </c>
      <c r="B127" s="36">
        <v>46058</v>
      </c>
      <c r="C127" s="35" t="s">
        <v>1421</v>
      </c>
      <c r="D127" s="35">
        <v>15866887301</v>
      </c>
      <c r="E127" s="35" t="s">
        <v>584</v>
      </c>
      <c r="F127" s="35" t="s">
        <v>189</v>
      </c>
      <c r="G127" s="35" t="s">
        <v>1229</v>
      </c>
      <c r="H127" s="35" t="s">
        <v>162</v>
      </c>
      <c r="I127" s="35"/>
      <c r="J127" s="56">
        <v>46058.8125</v>
      </c>
      <c r="K127" s="35" t="s">
        <v>272</v>
      </c>
      <c r="L127" s="35" t="s">
        <v>1218</v>
      </c>
      <c r="M127" s="35"/>
      <c r="N127" s="35" t="s">
        <v>335</v>
      </c>
      <c r="O127" s="35">
        <v>33</v>
      </c>
      <c r="P127" s="121" t="s">
        <v>1422</v>
      </c>
      <c r="Q127" s="35"/>
      <c r="R127" s="35"/>
      <c r="S127" s="35"/>
      <c r="T127" s="35"/>
      <c r="U127" s="35"/>
      <c r="V127" s="35"/>
      <c r="W127" s="35"/>
    </row>
    <row r="128" spans="1:23">
      <c r="A128" s="35">
        <v>127</v>
      </c>
      <c r="B128" s="36">
        <v>46059</v>
      </c>
      <c r="C128" s="35" t="s">
        <v>1423</v>
      </c>
      <c r="D128" s="35">
        <v>18482060343</v>
      </c>
      <c r="E128" s="35" t="s">
        <v>1397</v>
      </c>
      <c r="F128" s="35" t="s">
        <v>189</v>
      </c>
      <c r="G128" s="35" t="s">
        <v>719</v>
      </c>
      <c r="H128" s="35" t="s">
        <v>162</v>
      </c>
      <c r="I128" s="35"/>
      <c r="J128" s="56">
        <v>46060.6666666667</v>
      </c>
      <c r="K128" s="35" t="s">
        <v>1424</v>
      </c>
      <c r="L128" s="35" t="s">
        <v>1247</v>
      </c>
      <c r="M128" s="35"/>
      <c r="N128" s="35" t="s">
        <v>1268</v>
      </c>
      <c r="O128" s="35">
        <v>199</v>
      </c>
      <c r="P128" s="121" t="s">
        <v>1425</v>
      </c>
      <c r="Q128" s="35"/>
      <c r="R128" s="35"/>
      <c r="S128" s="35"/>
      <c r="T128" s="35"/>
      <c r="U128" s="35"/>
      <c r="V128" s="35"/>
      <c r="W128" s="35"/>
    </row>
    <row r="129" spans="1:23">
      <c r="A129" s="35">
        <v>128</v>
      </c>
      <c r="B129" s="36">
        <v>46061</v>
      </c>
      <c r="C129" s="35" t="s">
        <v>1426</v>
      </c>
      <c r="D129" s="35">
        <v>15924325755</v>
      </c>
      <c r="E129" s="35" t="s">
        <v>584</v>
      </c>
      <c r="F129" s="35" t="s">
        <v>189</v>
      </c>
      <c r="G129" s="35" t="s">
        <v>1209</v>
      </c>
      <c r="H129" s="35" t="s">
        <v>162</v>
      </c>
      <c r="I129" s="35"/>
      <c r="J129" s="56">
        <v>46062.75</v>
      </c>
      <c r="K129" s="35" t="s">
        <v>1064</v>
      </c>
      <c r="L129" s="35" t="s">
        <v>248</v>
      </c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</row>
    <row r="130" spans="1:23">
      <c r="A130" s="35">
        <v>129</v>
      </c>
      <c r="B130" s="36">
        <v>46061</v>
      </c>
      <c r="C130" s="35" t="s">
        <v>1427</v>
      </c>
      <c r="D130" s="35">
        <v>18858254400</v>
      </c>
      <c r="E130" s="35" t="s">
        <v>1428</v>
      </c>
      <c r="F130" s="35" t="s">
        <v>169</v>
      </c>
      <c r="G130" s="35" t="s">
        <v>1236</v>
      </c>
      <c r="H130" s="35" t="s">
        <v>200</v>
      </c>
      <c r="I130" s="35" t="s">
        <v>366</v>
      </c>
      <c r="J130" s="56">
        <v>46062.5069444444</v>
      </c>
      <c r="K130" s="35" t="s">
        <v>1429</v>
      </c>
      <c r="L130" s="35" t="s">
        <v>248</v>
      </c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</row>
    <row r="131" spans="1:23">
      <c r="A131" s="35">
        <v>130</v>
      </c>
      <c r="B131" s="36">
        <v>46077</v>
      </c>
      <c r="C131" s="35" t="s">
        <v>1430</v>
      </c>
      <c r="D131" s="35">
        <v>15869372038</v>
      </c>
      <c r="E131" s="35" t="s">
        <v>159</v>
      </c>
      <c r="F131" s="35" t="s">
        <v>189</v>
      </c>
      <c r="G131" s="35" t="s">
        <v>1236</v>
      </c>
      <c r="H131" s="35" t="s">
        <v>162</v>
      </c>
      <c r="I131" s="35"/>
      <c r="J131" s="56">
        <v>46078.7222222222</v>
      </c>
      <c r="K131" s="35" t="s">
        <v>296</v>
      </c>
      <c r="L131" s="35" t="s">
        <v>248</v>
      </c>
      <c r="M131" s="35"/>
      <c r="N131" s="35" t="s">
        <v>468</v>
      </c>
      <c r="O131" s="35">
        <v>386</v>
      </c>
      <c r="P131" s="121" t="s">
        <v>1431</v>
      </c>
      <c r="Q131" s="35"/>
      <c r="R131" s="35"/>
      <c r="S131" s="35"/>
      <c r="T131" s="35"/>
      <c r="U131" s="35"/>
      <c r="V131" s="35"/>
      <c r="W131" s="35"/>
    </row>
    <row r="132" ht="47.25" spans="1:23">
      <c r="A132" s="35">
        <v>131</v>
      </c>
      <c r="B132" s="36">
        <v>46078</v>
      </c>
      <c r="C132" s="35" t="s">
        <v>1432</v>
      </c>
      <c r="D132" s="35">
        <v>18392051358</v>
      </c>
      <c r="E132" s="35" t="s">
        <v>195</v>
      </c>
      <c r="F132" s="35" t="s">
        <v>189</v>
      </c>
      <c r="G132" s="35" t="s">
        <v>1229</v>
      </c>
      <c r="H132" s="35" t="s">
        <v>162</v>
      </c>
      <c r="I132" s="35"/>
      <c r="J132" s="56">
        <v>46079.8125</v>
      </c>
      <c r="K132" s="35" t="s">
        <v>171</v>
      </c>
      <c r="L132" s="35" t="s">
        <v>1209</v>
      </c>
      <c r="M132" s="35" t="s">
        <v>162</v>
      </c>
      <c r="N132" s="35" t="s">
        <v>249</v>
      </c>
      <c r="O132" s="35">
        <v>189.99</v>
      </c>
      <c r="P132" s="38" t="s">
        <v>1433</v>
      </c>
      <c r="Q132" s="35" t="s">
        <v>1357</v>
      </c>
      <c r="R132" s="35">
        <v>4399</v>
      </c>
      <c r="S132" s="35"/>
      <c r="T132" s="35"/>
      <c r="U132" s="35"/>
      <c r="V132" s="35"/>
      <c r="W132" s="35"/>
    </row>
    <row r="133" spans="1:23">
      <c r="A133" s="35">
        <v>132</v>
      </c>
      <c r="B133" s="36">
        <v>46078</v>
      </c>
      <c r="C133" s="35" t="s">
        <v>1434</v>
      </c>
      <c r="D133" s="35">
        <v>18768579343</v>
      </c>
      <c r="E133" s="35" t="s">
        <v>693</v>
      </c>
      <c r="F133" s="35" t="s">
        <v>189</v>
      </c>
      <c r="G133" s="35"/>
      <c r="H133" s="35" t="s">
        <v>200</v>
      </c>
      <c r="I133" s="35" t="s">
        <v>1435</v>
      </c>
      <c r="J133" s="56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</row>
    <row r="134" spans="1:23">
      <c r="A134" s="35">
        <v>133</v>
      </c>
      <c r="B134" s="36">
        <v>46078</v>
      </c>
      <c r="C134" s="35" t="s">
        <v>814</v>
      </c>
      <c r="D134" s="35">
        <v>17815930883</v>
      </c>
      <c r="E134" s="35" t="s">
        <v>1436</v>
      </c>
      <c r="F134" s="35" t="s">
        <v>189</v>
      </c>
      <c r="G134" s="35"/>
      <c r="H134" s="35" t="s">
        <v>200</v>
      </c>
      <c r="I134" s="35"/>
      <c r="J134" s="56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</row>
    <row r="135" spans="1:23">
      <c r="A135" s="35">
        <v>134</v>
      </c>
      <c r="B135" s="36">
        <v>46079</v>
      </c>
      <c r="C135" s="35" t="s">
        <v>1437</v>
      </c>
      <c r="D135" s="35">
        <v>15858193264</v>
      </c>
      <c r="E135" s="35" t="s">
        <v>1438</v>
      </c>
      <c r="F135" s="35" t="s">
        <v>189</v>
      </c>
      <c r="G135" s="35" t="s">
        <v>1209</v>
      </c>
      <c r="H135" s="35" t="s">
        <v>162</v>
      </c>
      <c r="I135" s="35"/>
      <c r="J135" s="56">
        <v>46082.8125</v>
      </c>
      <c r="K135" s="35" t="s">
        <v>296</v>
      </c>
      <c r="L135" s="35" t="s">
        <v>1229</v>
      </c>
      <c r="M135" s="35" t="s">
        <v>162</v>
      </c>
      <c r="N135" s="35" t="s">
        <v>468</v>
      </c>
      <c r="O135" s="35">
        <v>387</v>
      </c>
      <c r="P135" s="121" t="s">
        <v>1439</v>
      </c>
      <c r="Q135" s="38" t="s">
        <v>1440</v>
      </c>
      <c r="R135" s="35">
        <v>6999</v>
      </c>
      <c r="S135" s="35"/>
      <c r="T135" s="35"/>
      <c r="U135" s="35"/>
      <c r="V135" s="35"/>
      <c r="W135" s="35"/>
    </row>
    <row r="136" spans="1:23">
      <c r="A136" s="35">
        <v>135</v>
      </c>
      <c r="B136" s="36">
        <v>46079</v>
      </c>
      <c r="C136" s="35" t="s">
        <v>1441</v>
      </c>
      <c r="D136" s="35"/>
      <c r="E136" s="35" t="s">
        <v>725</v>
      </c>
      <c r="F136" s="35" t="s">
        <v>189</v>
      </c>
      <c r="G136" s="35"/>
      <c r="H136" s="35" t="s">
        <v>200</v>
      </c>
      <c r="I136" s="35" t="s">
        <v>1442</v>
      </c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</row>
    <row r="137" spans="1:23">
      <c r="A137" s="35">
        <v>136</v>
      </c>
      <c r="B137" s="36">
        <v>46080</v>
      </c>
      <c r="C137" s="35" t="s">
        <v>403</v>
      </c>
      <c r="D137" s="35">
        <v>13841401146</v>
      </c>
      <c r="E137" s="35" t="s">
        <v>315</v>
      </c>
      <c r="F137" s="35" t="s">
        <v>169</v>
      </c>
      <c r="G137" s="35"/>
      <c r="H137" s="35" t="s">
        <v>200</v>
      </c>
      <c r="I137" s="35" t="s">
        <v>1443</v>
      </c>
      <c r="J137" s="56">
        <v>46082.5833333333</v>
      </c>
      <c r="K137" s="35" t="s">
        <v>428</v>
      </c>
      <c r="L137" s="35" t="s">
        <v>1209</v>
      </c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</row>
    <row r="138" spans="1:23">
      <c r="A138" s="35">
        <v>137</v>
      </c>
      <c r="B138" s="36">
        <v>46080</v>
      </c>
      <c r="C138" s="35" t="s">
        <v>1444</v>
      </c>
      <c r="D138" s="35">
        <v>17742612545</v>
      </c>
      <c r="E138" s="35" t="s">
        <v>315</v>
      </c>
      <c r="F138" s="35" t="s">
        <v>169</v>
      </c>
      <c r="G138" s="35"/>
      <c r="H138" s="35" t="s">
        <v>200</v>
      </c>
      <c r="I138" s="35" t="s">
        <v>1445</v>
      </c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</row>
    <row r="139" spans="1:23">
      <c r="A139" s="35">
        <v>138</v>
      </c>
      <c r="B139" s="36">
        <v>46080</v>
      </c>
      <c r="C139" s="35" t="s">
        <v>1238</v>
      </c>
      <c r="D139" s="35">
        <v>13550767368</v>
      </c>
      <c r="E139" s="35" t="s">
        <v>1446</v>
      </c>
      <c r="F139" s="35" t="s">
        <v>189</v>
      </c>
      <c r="G139" s="35"/>
      <c r="H139" s="35" t="s">
        <v>200</v>
      </c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</row>
    <row r="140" spans="1:23">
      <c r="A140" s="35">
        <v>139</v>
      </c>
      <c r="B140" s="36">
        <v>46081</v>
      </c>
      <c r="C140" s="35" t="s">
        <v>1447</v>
      </c>
      <c r="D140" s="35">
        <v>13884420186</v>
      </c>
      <c r="E140" s="35" t="s">
        <v>315</v>
      </c>
      <c r="F140" s="35" t="s">
        <v>189</v>
      </c>
      <c r="G140" s="35"/>
      <c r="H140" s="35" t="s">
        <v>200</v>
      </c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</row>
    <row r="141" s="18" customFormat="1" spans="1:23">
      <c r="A141" s="41">
        <v>140</v>
      </c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</row>
    <row r="142" spans="1:23">
      <c r="A142" s="70">
        <v>141</v>
      </c>
      <c r="B142" s="36">
        <v>46082</v>
      </c>
      <c r="C142" s="35" t="s">
        <v>317</v>
      </c>
      <c r="D142" s="35">
        <v>19549075991</v>
      </c>
      <c r="E142" s="35" t="s">
        <v>1448</v>
      </c>
      <c r="F142" s="35" t="s">
        <v>189</v>
      </c>
      <c r="G142" s="35"/>
      <c r="H142" s="35" t="s">
        <v>200</v>
      </c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</row>
    <row r="143" ht="47.25" spans="1:23">
      <c r="A143" s="70">
        <v>142</v>
      </c>
      <c r="B143" s="36">
        <v>46083</v>
      </c>
      <c r="C143" s="35" t="s">
        <v>1449</v>
      </c>
      <c r="D143" s="35">
        <v>15757878790</v>
      </c>
      <c r="E143" s="35" t="s">
        <v>1436</v>
      </c>
      <c r="F143" s="35" t="s">
        <v>189</v>
      </c>
      <c r="G143" s="35" t="s">
        <v>1236</v>
      </c>
      <c r="H143" s="35" t="s">
        <v>162</v>
      </c>
      <c r="I143" s="35"/>
      <c r="J143" s="56">
        <v>46085.4930555556</v>
      </c>
      <c r="K143" s="35" t="s">
        <v>171</v>
      </c>
      <c r="L143" s="35" t="s">
        <v>1209</v>
      </c>
      <c r="M143" s="35" t="s">
        <v>162</v>
      </c>
      <c r="N143" s="35" t="s">
        <v>249</v>
      </c>
      <c r="O143" s="35">
        <v>206.3</v>
      </c>
      <c r="P143" s="38" t="s">
        <v>1450</v>
      </c>
      <c r="Q143" s="35" t="s">
        <v>1171</v>
      </c>
      <c r="R143" s="35">
        <v>6999</v>
      </c>
      <c r="S143" s="35"/>
      <c r="T143" s="35"/>
      <c r="U143" s="35"/>
      <c r="V143" s="35"/>
      <c r="W143" s="35"/>
    </row>
    <row r="144" ht="47.25" spans="1:23">
      <c r="A144" s="70">
        <v>143</v>
      </c>
      <c r="B144" s="36">
        <v>46083</v>
      </c>
      <c r="C144" s="35" t="s">
        <v>317</v>
      </c>
      <c r="D144" s="35"/>
      <c r="E144" s="35" t="s">
        <v>1436</v>
      </c>
      <c r="F144" s="35" t="s">
        <v>189</v>
      </c>
      <c r="G144" s="35" t="s">
        <v>1236</v>
      </c>
      <c r="H144" s="35" t="s">
        <v>162</v>
      </c>
      <c r="I144" s="35"/>
      <c r="J144" s="56">
        <v>46085.4930555556</v>
      </c>
      <c r="K144" s="35" t="s">
        <v>171</v>
      </c>
      <c r="L144" s="35" t="s">
        <v>1209</v>
      </c>
      <c r="M144" s="35"/>
      <c r="N144" s="35" t="s">
        <v>249</v>
      </c>
      <c r="O144" s="35">
        <v>194.99</v>
      </c>
      <c r="P144" s="38" t="s">
        <v>1451</v>
      </c>
      <c r="Q144" s="35"/>
      <c r="R144" s="35"/>
      <c r="S144" s="35"/>
      <c r="T144" s="35"/>
      <c r="U144" s="35"/>
      <c r="V144" s="35"/>
      <c r="W144" s="35"/>
    </row>
    <row r="145" spans="1:23">
      <c r="A145" s="70">
        <v>144</v>
      </c>
      <c r="B145" s="36">
        <v>46084</v>
      </c>
      <c r="C145" s="35" t="s">
        <v>216</v>
      </c>
      <c r="D145" s="52">
        <v>15957467497</v>
      </c>
      <c r="E145" s="35" t="s">
        <v>584</v>
      </c>
      <c r="F145" s="35" t="s">
        <v>189</v>
      </c>
      <c r="G145" s="35"/>
      <c r="H145" s="35" t="s">
        <v>200</v>
      </c>
      <c r="I145" s="35" t="s">
        <v>722</v>
      </c>
      <c r="J145" s="56"/>
      <c r="K145" s="35"/>
      <c r="L145" s="35"/>
      <c r="M145" s="35"/>
      <c r="N145" s="35"/>
      <c r="O145" s="35"/>
      <c r="P145" s="38"/>
      <c r="Q145" s="35"/>
      <c r="R145" s="35"/>
      <c r="S145" s="35"/>
      <c r="T145" s="35"/>
      <c r="U145" s="35"/>
      <c r="V145" s="35"/>
      <c r="W145" s="35"/>
    </row>
    <row r="146" spans="1:23">
      <c r="A146" s="70">
        <v>145</v>
      </c>
      <c r="B146" s="36">
        <v>46084</v>
      </c>
      <c r="C146" s="35" t="s">
        <v>1452</v>
      </c>
      <c r="D146" s="52">
        <v>15957589973</v>
      </c>
      <c r="E146" s="35" t="s">
        <v>695</v>
      </c>
      <c r="F146" s="35" t="s">
        <v>189</v>
      </c>
      <c r="G146" s="35"/>
      <c r="H146" s="35" t="s">
        <v>200</v>
      </c>
      <c r="I146" s="35" t="s">
        <v>722</v>
      </c>
      <c r="J146" s="56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</row>
    <row r="147" spans="1:23">
      <c r="A147" s="70">
        <v>146</v>
      </c>
      <c r="B147" s="36">
        <v>46085</v>
      </c>
      <c r="C147" s="35" t="s">
        <v>388</v>
      </c>
      <c r="D147" s="52">
        <v>13958854587</v>
      </c>
      <c r="E147" s="35" t="s">
        <v>1436</v>
      </c>
      <c r="F147" s="35" t="s">
        <v>189</v>
      </c>
      <c r="G147" s="35"/>
      <c r="H147" s="35" t="s">
        <v>200</v>
      </c>
      <c r="I147" s="35" t="s">
        <v>1453</v>
      </c>
      <c r="J147" s="56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</row>
    <row r="148" spans="1:23">
      <c r="A148" s="70">
        <v>147</v>
      </c>
      <c r="B148" s="36">
        <v>46085</v>
      </c>
      <c r="C148" s="35" t="s">
        <v>216</v>
      </c>
      <c r="D148" s="52">
        <v>18858479873</v>
      </c>
      <c r="E148" s="35" t="s">
        <v>1454</v>
      </c>
      <c r="F148" s="35" t="s">
        <v>189</v>
      </c>
      <c r="G148" s="35"/>
      <c r="H148" s="35" t="s">
        <v>200</v>
      </c>
      <c r="I148" s="35" t="s">
        <v>549</v>
      </c>
      <c r="J148" s="56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</row>
    <row r="149" spans="1:23">
      <c r="A149" s="70">
        <v>148</v>
      </c>
      <c r="B149" s="36">
        <v>46086</v>
      </c>
      <c r="C149" s="35" t="s">
        <v>1455</v>
      </c>
      <c r="D149" s="35">
        <v>13685829462</v>
      </c>
      <c r="E149" s="35" t="s">
        <v>315</v>
      </c>
      <c r="F149" s="35" t="s">
        <v>189</v>
      </c>
      <c r="G149" s="35" t="s">
        <v>1229</v>
      </c>
      <c r="H149" s="35" t="s">
        <v>162</v>
      </c>
      <c r="I149" s="35"/>
      <c r="J149" s="56">
        <v>46087.4930555556</v>
      </c>
      <c r="K149" s="35" t="s">
        <v>196</v>
      </c>
      <c r="L149" s="35" t="s">
        <v>172</v>
      </c>
      <c r="M149" s="35"/>
      <c r="N149" s="35" t="s">
        <v>1456</v>
      </c>
      <c r="O149" s="35">
        <v>75</v>
      </c>
      <c r="P149" s="121" t="s">
        <v>1457</v>
      </c>
      <c r="Q149" s="35" t="s">
        <v>1458</v>
      </c>
      <c r="R149" s="35"/>
      <c r="S149" s="35"/>
      <c r="T149" s="35"/>
      <c r="U149" s="35"/>
      <c r="V149" s="35"/>
      <c r="W149" s="35"/>
    </row>
    <row r="150" spans="1:23">
      <c r="A150" s="70">
        <v>149</v>
      </c>
      <c r="B150" s="36">
        <v>46086</v>
      </c>
      <c r="C150" s="35" t="s">
        <v>1459</v>
      </c>
      <c r="D150" s="51"/>
      <c r="E150" s="35" t="s">
        <v>1460</v>
      </c>
      <c r="F150" s="35" t="s">
        <v>189</v>
      </c>
      <c r="G150" s="35"/>
      <c r="H150" s="35" t="s">
        <v>200</v>
      </c>
      <c r="I150" s="35"/>
      <c r="J150" s="56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</row>
    <row r="151" ht="47.25" spans="1:23">
      <c r="A151" s="70">
        <v>150</v>
      </c>
      <c r="B151" s="36">
        <v>46087</v>
      </c>
      <c r="C151" s="35" t="s">
        <v>1461</v>
      </c>
      <c r="D151" s="35">
        <v>15080028777</v>
      </c>
      <c r="E151" s="35" t="s">
        <v>693</v>
      </c>
      <c r="F151" s="35" t="s">
        <v>176</v>
      </c>
      <c r="G151" s="35" t="s">
        <v>248</v>
      </c>
      <c r="H151" s="35" t="s">
        <v>162</v>
      </c>
      <c r="I151" s="35"/>
      <c r="J151" s="56">
        <v>46088.7222222222</v>
      </c>
      <c r="K151" s="35" t="s">
        <v>171</v>
      </c>
      <c r="L151" s="35" t="s">
        <v>1247</v>
      </c>
      <c r="M151" s="35" t="s">
        <v>162</v>
      </c>
      <c r="N151" s="35" t="s">
        <v>249</v>
      </c>
      <c r="O151" s="35">
        <v>199.99</v>
      </c>
      <c r="P151" s="38" t="s">
        <v>1462</v>
      </c>
      <c r="Q151" s="35" t="s">
        <v>443</v>
      </c>
      <c r="R151" s="17">
        <v>3560</v>
      </c>
      <c r="S151" s="35"/>
      <c r="T151" s="35"/>
      <c r="U151" s="35"/>
      <c r="V151" s="35"/>
      <c r="W151" s="35"/>
    </row>
    <row r="152" ht="47.25" spans="1:23">
      <c r="A152" s="70">
        <v>151</v>
      </c>
      <c r="B152" s="36">
        <v>46087</v>
      </c>
      <c r="C152" s="35" t="s">
        <v>1463</v>
      </c>
      <c r="D152" s="35">
        <v>15657437821</v>
      </c>
      <c r="E152" s="35" t="s">
        <v>693</v>
      </c>
      <c r="F152" s="35" t="s">
        <v>176</v>
      </c>
      <c r="G152" s="35" t="s">
        <v>248</v>
      </c>
      <c r="H152" s="35" t="s">
        <v>162</v>
      </c>
      <c r="I152" s="35"/>
      <c r="J152" s="56">
        <v>46088.7222222222</v>
      </c>
      <c r="K152" s="35" t="s">
        <v>171</v>
      </c>
      <c r="L152" s="35" t="s">
        <v>1247</v>
      </c>
      <c r="M152" s="35" t="s">
        <v>162</v>
      </c>
      <c r="N152" s="35" t="s">
        <v>249</v>
      </c>
      <c r="O152" s="35">
        <v>189.99</v>
      </c>
      <c r="P152" s="38" t="s">
        <v>1464</v>
      </c>
      <c r="Q152" s="35" t="s">
        <v>443</v>
      </c>
      <c r="R152" s="35">
        <v>3560</v>
      </c>
      <c r="S152" s="35"/>
      <c r="T152" s="35"/>
      <c r="U152" s="35"/>
      <c r="V152" s="35"/>
      <c r="W152" s="35"/>
    </row>
    <row r="153" spans="1:23">
      <c r="A153" s="70">
        <v>152</v>
      </c>
      <c r="B153" s="36">
        <v>46088</v>
      </c>
      <c r="C153" s="35" t="s">
        <v>1465</v>
      </c>
      <c r="D153" s="52"/>
      <c r="E153" s="35" t="s">
        <v>1466</v>
      </c>
      <c r="F153" s="35" t="s">
        <v>189</v>
      </c>
      <c r="G153" s="35"/>
      <c r="H153" s="35" t="s">
        <v>200</v>
      </c>
      <c r="I153" s="35" t="s">
        <v>534</v>
      </c>
      <c r="J153" s="56"/>
      <c r="K153" s="35"/>
      <c r="L153" s="35"/>
      <c r="M153" s="35"/>
      <c r="N153" s="35"/>
      <c r="O153" s="35"/>
      <c r="P153" s="38"/>
      <c r="Q153" s="35"/>
      <c r="R153" s="35"/>
      <c r="S153" s="35"/>
      <c r="T153" s="35"/>
      <c r="U153" s="35"/>
      <c r="V153" s="35"/>
      <c r="W153" s="35"/>
    </row>
    <row r="154" ht="47.25" spans="1:23">
      <c r="A154" s="70">
        <v>153</v>
      </c>
      <c r="B154" s="36">
        <v>46089</v>
      </c>
      <c r="C154" s="35" t="s">
        <v>1197</v>
      </c>
      <c r="D154" s="35">
        <v>15989647335</v>
      </c>
      <c r="E154" s="35" t="s">
        <v>695</v>
      </c>
      <c r="F154" s="35" t="s">
        <v>189</v>
      </c>
      <c r="G154" s="35" t="s">
        <v>719</v>
      </c>
      <c r="H154" s="35" t="s">
        <v>162</v>
      </c>
      <c r="I154" s="35"/>
      <c r="J154" s="56">
        <v>46089.7222222222</v>
      </c>
      <c r="K154" s="35" t="s">
        <v>171</v>
      </c>
      <c r="L154" s="35" t="s">
        <v>1229</v>
      </c>
      <c r="M154" s="35"/>
      <c r="N154" s="35" t="s">
        <v>249</v>
      </c>
      <c r="O154" s="35">
        <v>76.096</v>
      </c>
      <c r="P154" s="38" t="s">
        <v>1467</v>
      </c>
      <c r="Q154" s="35" t="s">
        <v>1468</v>
      </c>
      <c r="R154" s="35"/>
      <c r="S154" s="35"/>
      <c r="T154" s="35"/>
      <c r="U154" s="35"/>
      <c r="V154" s="35"/>
      <c r="W154" s="35"/>
    </row>
    <row r="155" spans="1:23">
      <c r="A155" s="70">
        <v>154</v>
      </c>
      <c r="B155" s="36">
        <v>46089</v>
      </c>
      <c r="C155" s="35" t="s">
        <v>1469</v>
      </c>
      <c r="D155" s="35">
        <v>13780078544</v>
      </c>
      <c r="E155" s="35" t="s">
        <v>315</v>
      </c>
      <c r="F155" s="35" t="s">
        <v>189</v>
      </c>
      <c r="G155" s="35" t="s">
        <v>248</v>
      </c>
      <c r="H155" s="35" t="s">
        <v>162</v>
      </c>
      <c r="I155" s="35"/>
      <c r="J155" s="56">
        <v>46090.5833333333</v>
      </c>
      <c r="K155" s="35" t="s">
        <v>196</v>
      </c>
      <c r="L155" s="35" t="s">
        <v>1209</v>
      </c>
      <c r="M155" s="35" t="s">
        <v>162</v>
      </c>
      <c r="N155" s="35"/>
      <c r="O155" s="35"/>
      <c r="P155" s="35"/>
      <c r="Q155" s="17" t="s">
        <v>443</v>
      </c>
      <c r="R155" s="17">
        <v>3560</v>
      </c>
      <c r="S155" s="35" t="s">
        <v>1470</v>
      </c>
      <c r="T155" s="35">
        <v>299</v>
      </c>
      <c r="U155" s="35"/>
      <c r="V155" s="35"/>
      <c r="W155" s="35"/>
    </row>
    <row r="156" ht="47.25" spans="1:23">
      <c r="A156" s="70">
        <v>155</v>
      </c>
      <c r="B156" s="36">
        <v>46090</v>
      </c>
      <c r="C156" s="35" t="s">
        <v>1471</v>
      </c>
      <c r="D156" s="35">
        <v>18768579343</v>
      </c>
      <c r="E156" s="35" t="s">
        <v>860</v>
      </c>
      <c r="F156" s="35" t="s">
        <v>189</v>
      </c>
      <c r="G156" s="35" t="s">
        <v>1209</v>
      </c>
      <c r="H156" s="35" t="s">
        <v>162</v>
      </c>
      <c r="I156" s="35"/>
      <c r="J156" s="56">
        <v>46092.8125</v>
      </c>
      <c r="K156" s="35" t="s">
        <v>1472</v>
      </c>
      <c r="L156" s="35" t="s">
        <v>1209</v>
      </c>
      <c r="M156" s="35" t="s">
        <v>162</v>
      </c>
      <c r="N156" s="35" t="s">
        <v>249</v>
      </c>
      <c r="O156" s="35">
        <v>202.63</v>
      </c>
      <c r="P156" s="38" t="s">
        <v>1473</v>
      </c>
      <c r="Q156" s="35" t="s">
        <v>1474</v>
      </c>
      <c r="R156" s="35">
        <v>5570</v>
      </c>
      <c r="S156" s="35"/>
      <c r="T156" s="35"/>
      <c r="U156" s="35"/>
      <c r="V156" s="35"/>
      <c r="W156" s="35"/>
    </row>
    <row r="157" ht="47.25" spans="1:23">
      <c r="A157" s="70">
        <v>156</v>
      </c>
      <c r="B157" s="36">
        <v>46092</v>
      </c>
      <c r="C157" s="35" t="s">
        <v>1475</v>
      </c>
      <c r="D157" s="35">
        <v>15058429860</v>
      </c>
      <c r="E157" s="35" t="s">
        <v>1476</v>
      </c>
      <c r="F157" s="35" t="s">
        <v>189</v>
      </c>
      <c r="G157" s="35" t="s">
        <v>1236</v>
      </c>
      <c r="H157" s="35" t="s">
        <v>162</v>
      </c>
      <c r="I157" s="35"/>
      <c r="J157" s="56">
        <v>46092.7638888889</v>
      </c>
      <c r="K157" s="35" t="s">
        <v>1477</v>
      </c>
      <c r="L157" s="35" t="s">
        <v>300</v>
      </c>
      <c r="M157" s="35"/>
      <c r="N157" s="35" t="s">
        <v>249</v>
      </c>
      <c r="O157" s="35">
        <v>189.99</v>
      </c>
      <c r="P157" s="38" t="s">
        <v>1478</v>
      </c>
      <c r="Q157" s="35"/>
      <c r="R157" s="35"/>
      <c r="S157" s="35"/>
      <c r="T157" s="35"/>
      <c r="U157" s="35"/>
      <c r="V157" s="35"/>
      <c r="W157" s="35"/>
    </row>
    <row r="158" ht="31.5" spans="1:23">
      <c r="A158" s="70">
        <v>157</v>
      </c>
      <c r="B158" s="36">
        <v>46094</v>
      </c>
      <c r="C158" s="35" t="s">
        <v>1479</v>
      </c>
      <c r="D158" s="35">
        <v>13736186805</v>
      </c>
      <c r="E158" s="35" t="s">
        <v>1480</v>
      </c>
      <c r="F158" s="35" t="s">
        <v>704</v>
      </c>
      <c r="G158" s="35" t="s">
        <v>248</v>
      </c>
      <c r="H158" s="35" t="s">
        <v>162</v>
      </c>
      <c r="I158" s="35"/>
      <c r="J158" s="56">
        <v>46095.625</v>
      </c>
      <c r="K158" s="35" t="s">
        <v>296</v>
      </c>
      <c r="L158" s="35" t="s">
        <v>164</v>
      </c>
      <c r="M158" s="35" t="s">
        <v>162</v>
      </c>
      <c r="N158" s="35" t="s">
        <v>1481</v>
      </c>
      <c r="O158" s="35">
        <v>649.8</v>
      </c>
      <c r="P158" s="122" t="s">
        <v>1482</v>
      </c>
      <c r="Q158" s="35" t="s">
        <v>1483</v>
      </c>
      <c r="R158" s="35">
        <v>6585</v>
      </c>
      <c r="S158" s="35"/>
      <c r="T158" s="35"/>
      <c r="U158" s="35"/>
      <c r="V158" s="35"/>
      <c r="W158" s="35"/>
    </row>
    <row r="159" spans="1:23">
      <c r="A159" s="70">
        <v>158</v>
      </c>
      <c r="B159" s="36">
        <v>46096</v>
      </c>
      <c r="C159" s="35" t="s">
        <v>1484</v>
      </c>
      <c r="D159" s="35">
        <v>15867528278</v>
      </c>
      <c r="E159" s="35" t="s">
        <v>725</v>
      </c>
      <c r="F159" s="35" t="s">
        <v>169</v>
      </c>
      <c r="G159" s="35"/>
      <c r="H159" s="35" t="s">
        <v>200</v>
      </c>
      <c r="I159" s="35" t="s">
        <v>534</v>
      </c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</row>
    <row r="160" spans="1:23">
      <c r="A160" s="70">
        <v>159</v>
      </c>
      <c r="B160" s="36">
        <v>46097</v>
      </c>
      <c r="C160" s="35" t="s">
        <v>1485</v>
      </c>
      <c r="D160" s="35"/>
      <c r="E160" s="35" t="s">
        <v>315</v>
      </c>
      <c r="F160" s="35" t="s">
        <v>189</v>
      </c>
      <c r="G160" s="35"/>
      <c r="H160" s="35" t="s">
        <v>200</v>
      </c>
      <c r="I160" s="36" t="s">
        <v>1486</v>
      </c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</row>
    <row r="161" spans="1:23">
      <c r="A161" s="70">
        <v>160</v>
      </c>
      <c r="B161" s="36">
        <v>46097</v>
      </c>
      <c r="C161" s="35" t="s">
        <v>291</v>
      </c>
      <c r="D161" s="35"/>
      <c r="E161" s="35" t="s">
        <v>159</v>
      </c>
      <c r="F161" s="35" t="s">
        <v>189</v>
      </c>
      <c r="G161" s="35"/>
      <c r="H161" s="35" t="s">
        <v>200</v>
      </c>
      <c r="I161" s="35" t="s">
        <v>1487</v>
      </c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</row>
    <row r="162" spans="1:23">
      <c r="A162" s="70">
        <v>161</v>
      </c>
      <c r="B162" s="36">
        <v>46098</v>
      </c>
      <c r="C162" s="35" t="s">
        <v>317</v>
      </c>
      <c r="D162" s="35">
        <v>18642919695</v>
      </c>
      <c r="E162" s="35" t="s">
        <v>315</v>
      </c>
      <c r="F162" s="35" t="s">
        <v>189</v>
      </c>
      <c r="G162" s="35" t="s">
        <v>1229</v>
      </c>
      <c r="H162" s="35" t="s">
        <v>162</v>
      </c>
      <c r="I162" s="51" t="s">
        <v>263</v>
      </c>
      <c r="J162" s="56">
        <v>46099.5069444444</v>
      </c>
      <c r="K162" s="35" t="s">
        <v>196</v>
      </c>
      <c r="L162" s="35" t="s">
        <v>172</v>
      </c>
      <c r="M162" s="35"/>
      <c r="N162" s="35" t="s">
        <v>662</v>
      </c>
      <c r="O162" s="35">
        <v>113</v>
      </c>
      <c r="P162" s="121" t="s">
        <v>1488</v>
      </c>
      <c r="Q162" s="35"/>
      <c r="R162" s="35"/>
      <c r="S162" s="35"/>
      <c r="T162" s="35"/>
      <c r="U162" s="35"/>
      <c r="V162" s="35"/>
      <c r="W162" s="35"/>
    </row>
    <row r="163" spans="1:23">
      <c r="A163" s="70">
        <v>162</v>
      </c>
      <c r="B163" s="36">
        <v>46098</v>
      </c>
      <c r="C163" s="35" t="s">
        <v>1489</v>
      </c>
      <c r="D163" s="35"/>
      <c r="E163" s="35" t="s">
        <v>315</v>
      </c>
      <c r="F163" s="35" t="s">
        <v>189</v>
      </c>
      <c r="G163" s="35" t="s">
        <v>1229</v>
      </c>
      <c r="H163" s="35" t="s">
        <v>162</v>
      </c>
      <c r="I163" s="52"/>
      <c r="J163" s="56">
        <v>46099.5069444444</v>
      </c>
      <c r="K163" s="35" t="s">
        <v>196</v>
      </c>
      <c r="L163" s="35" t="s">
        <v>172</v>
      </c>
      <c r="M163" s="35"/>
      <c r="N163" s="35" t="s">
        <v>662</v>
      </c>
      <c r="O163" s="35">
        <v>113</v>
      </c>
      <c r="P163" s="122" t="s">
        <v>1490</v>
      </c>
      <c r="Q163" s="35"/>
      <c r="R163" s="35"/>
      <c r="S163" s="35"/>
      <c r="T163" s="35"/>
      <c r="U163" s="35"/>
      <c r="V163" s="35"/>
      <c r="W163" s="35"/>
    </row>
    <row r="164" spans="1:23">
      <c r="A164" s="70">
        <v>163</v>
      </c>
      <c r="B164" s="36">
        <v>46098</v>
      </c>
      <c r="C164" s="35" t="s">
        <v>1491</v>
      </c>
      <c r="D164" s="35">
        <v>18968579418</v>
      </c>
      <c r="E164" s="35" t="s">
        <v>1492</v>
      </c>
      <c r="F164" s="35" t="s">
        <v>704</v>
      </c>
      <c r="G164" s="35"/>
      <c r="H164" s="35" t="s">
        <v>200</v>
      </c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</row>
    <row r="165" spans="1:23">
      <c r="A165" s="70">
        <v>164</v>
      </c>
      <c r="B165" s="36">
        <v>46098</v>
      </c>
      <c r="C165" s="35" t="s">
        <v>1493</v>
      </c>
      <c r="D165" s="35">
        <v>18958041431</v>
      </c>
      <c r="E165" s="35" t="s">
        <v>1494</v>
      </c>
      <c r="F165" s="35" t="s">
        <v>189</v>
      </c>
      <c r="G165" s="35" t="s">
        <v>1236</v>
      </c>
      <c r="H165" s="35" t="s">
        <v>162</v>
      </c>
      <c r="I165" s="35"/>
      <c r="J165" s="56">
        <v>46099.7916666667</v>
      </c>
      <c r="K165" s="35" t="s">
        <v>296</v>
      </c>
      <c r="L165" s="35" t="s">
        <v>843</v>
      </c>
      <c r="M165" s="35"/>
      <c r="N165" s="35" t="s">
        <v>454</v>
      </c>
      <c r="O165" s="35">
        <v>387</v>
      </c>
      <c r="P165" s="121" t="s">
        <v>1495</v>
      </c>
      <c r="Q165" s="35"/>
      <c r="R165" s="35"/>
      <c r="S165" s="35"/>
      <c r="T165" s="35"/>
      <c r="U165" s="35"/>
      <c r="V165" s="35"/>
      <c r="W165" s="35"/>
    </row>
    <row r="166" ht="47.25" spans="1:23">
      <c r="A166" s="70">
        <v>165</v>
      </c>
      <c r="B166" s="36">
        <v>46099</v>
      </c>
      <c r="C166" s="35" t="s">
        <v>933</v>
      </c>
      <c r="D166" s="35">
        <v>15669228861</v>
      </c>
      <c r="E166" s="35" t="s">
        <v>1496</v>
      </c>
      <c r="F166" s="35" t="s">
        <v>189</v>
      </c>
      <c r="G166" s="35" t="s">
        <v>248</v>
      </c>
      <c r="H166" s="35" t="s">
        <v>162</v>
      </c>
      <c r="I166" s="35"/>
      <c r="J166" s="56">
        <v>46100.8194444444</v>
      </c>
      <c r="K166" s="35" t="s">
        <v>289</v>
      </c>
      <c r="L166" s="35" t="s">
        <v>684</v>
      </c>
      <c r="M166" s="35"/>
      <c r="N166" s="35" t="s">
        <v>249</v>
      </c>
      <c r="O166" s="35">
        <v>202.63</v>
      </c>
      <c r="P166" s="38" t="s">
        <v>1497</v>
      </c>
      <c r="Q166" s="35"/>
      <c r="R166" s="35"/>
      <c r="S166" s="35"/>
      <c r="T166" s="35"/>
      <c r="U166" s="35"/>
      <c r="V166" s="35"/>
      <c r="W166" s="35"/>
    </row>
    <row r="167" spans="1:23">
      <c r="A167" s="70">
        <v>166</v>
      </c>
      <c r="B167" s="36">
        <v>46099</v>
      </c>
      <c r="C167" s="35" t="s">
        <v>1498</v>
      </c>
      <c r="D167" s="35">
        <v>17794616115</v>
      </c>
      <c r="E167" s="35" t="s">
        <v>1499</v>
      </c>
      <c r="F167" s="35" t="s">
        <v>189</v>
      </c>
      <c r="G167" s="35" t="s">
        <v>1209</v>
      </c>
      <c r="H167" s="35" t="s">
        <v>162</v>
      </c>
      <c r="I167" s="35"/>
      <c r="J167" s="56">
        <v>46100.4166666667</v>
      </c>
      <c r="K167" s="35" t="s">
        <v>657</v>
      </c>
      <c r="L167" s="35" t="s">
        <v>684</v>
      </c>
      <c r="M167" s="35"/>
      <c r="N167" s="35" t="s">
        <v>468</v>
      </c>
      <c r="O167" s="35">
        <v>387</v>
      </c>
      <c r="P167" s="121" t="s">
        <v>1500</v>
      </c>
      <c r="Q167" s="35"/>
      <c r="R167" s="35"/>
      <c r="S167" s="35"/>
      <c r="T167" s="35"/>
      <c r="U167" s="35"/>
      <c r="V167" s="35"/>
      <c r="W167" s="35"/>
    </row>
    <row r="168" ht="47.25" spans="1:23">
      <c r="A168" s="70">
        <v>167</v>
      </c>
      <c r="B168" s="36">
        <v>46101</v>
      </c>
      <c r="C168" s="35" t="s">
        <v>1501</v>
      </c>
      <c r="D168" s="35">
        <v>13567860368</v>
      </c>
      <c r="E168" s="35" t="s">
        <v>1502</v>
      </c>
      <c r="F168" s="35" t="s">
        <v>189</v>
      </c>
      <c r="G168" s="35" t="s">
        <v>1229</v>
      </c>
      <c r="H168" s="35" t="s">
        <v>162</v>
      </c>
      <c r="I168" s="35"/>
      <c r="J168" s="56">
        <v>46106.75</v>
      </c>
      <c r="K168" s="35" t="s">
        <v>171</v>
      </c>
      <c r="L168" s="35" t="s">
        <v>742</v>
      </c>
      <c r="M168" s="35"/>
      <c r="N168" s="35" t="s">
        <v>1211</v>
      </c>
      <c r="O168" s="35">
        <v>189.99</v>
      </c>
      <c r="P168" s="122" t="s">
        <v>1503</v>
      </c>
      <c r="Q168" s="35"/>
      <c r="R168" s="35"/>
      <c r="S168" s="35"/>
      <c r="T168" s="35"/>
      <c r="U168" s="35"/>
      <c r="V168" s="35"/>
      <c r="W168" s="35"/>
    </row>
    <row r="169" spans="1:23">
      <c r="A169" s="70">
        <v>168</v>
      </c>
      <c r="B169" s="36">
        <v>46101</v>
      </c>
      <c r="C169" s="35" t="s">
        <v>1504</v>
      </c>
      <c r="D169" s="35">
        <v>13566057475</v>
      </c>
      <c r="E169" s="35" t="s">
        <v>1505</v>
      </c>
      <c r="F169" s="35" t="s">
        <v>267</v>
      </c>
      <c r="G169" s="35" t="s">
        <v>1236</v>
      </c>
      <c r="H169" s="35" t="s">
        <v>162</v>
      </c>
      <c r="I169" s="35"/>
      <c r="J169" s="56">
        <v>46104.7638888889</v>
      </c>
      <c r="K169" s="35" t="s">
        <v>289</v>
      </c>
      <c r="L169" s="35" t="s">
        <v>684</v>
      </c>
      <c r="M169" s="35"/>
      <c r="N169" s="35"/>
      <c r="O169" s="35"/>
      <c r="P169" s="35"/>
      <c r="Q169" s="35" t="s">
        <v>1506</v>
      </c>
      <c r="R169" s="35">
        <v>299</v>
      </c>
      <c r="S169" s="35"/>
      <c r="T169" s="35"/>
      <c r="U169" s="35"/>
      <c r="V169" s="35"/>
      <c r="W169" s="35"/>
    </row>
    <row r="170" spans="1:23">
      <c r="A170" s="70">
        <v>169</v>
      </c>
      <c r="B170" s="36">
        <v>46101</v>
      </c>
      <c r="C170" s="35" t="s">
        <v>1507</v>
      </c>
      <c r="D170" s="35">
        <v>19555136245</v>
      </c>
      <c r="E170" s="35" t="s">
        <v>1508</v>
      </c>
      <c r="F170" s="35" t="s">
        <v>169</v>
      </c>
      <c r="G170" s="35" t="s">
        <v>1236</v>
      </c>
      <c r="H170" s="35" t="s">
        <v>162</v>
      </c>
      <c r="I170" s="35"/>
      <c r="J170" s="56">
        <v>46108.7222222222</v>
      </c>
      <c r="K170" s="35" t="s">
        <v>171</v>
      </c>
      <c r="L170" s="35" t="s">
        <v>1209</v>
      </c>
      <c r="M170" s="35" t="s">
        <v>162</v>
      </c>
      <c r="N170" s="35" t="s">
        <v>1268</v>
      </c>
      <c r="O170" s="35">
        <v>60.8</v>
      </c>
      <c r="P170" s="121" t="s">
        <v>1509</v>
      </c>
      <c r="Q170" s="35" t="s">
        <v>283</v>
      </c>
      <c r="R170" s="35">
        <v>1946</v>
      </c>
      <c r="S170" s="35"/>
      <c r="T170" s="35"/>
      <c r="U170" s="35"/>
      <c r="V170" s="35"/>
      <c r="W170" s="35"/>
    </row>
    <row r="171" spans="1:23">
      <c r="A171" s="70">
        <v>170</v>
      </c>
      <c r="B171" s="36">
        <v>46101</v>
      </c>
      <c r="C171" s="35" t="s">
        <v>1510</v>
      </c>
      <c r="D171" s="35">
        <v>13506847778</v>
      </c>
      <c r="E171" s="35" t="s">
        <v>1508</v>
      </c>
      <c r="F171" s="35" t="s">
        <v>169</v>
      </c>
      <c r="G171" s="35" t="s">
        <v>1236</v>
      </c>
      <c r="H171" s="35" t="s">
        <v>162</v>
      </c>
      <c r="I171" s="35"/>
      <c r="J171" s="56">
        <v>46108.7222222222</v>
      </c>
      <c r="K171" s="35" t="s">
        <v>171</v>
      </c>
      <c r="L171" s="35" t="s">
        <v>1209</v>
      </c>
      <c r="M171" s="35"/>
      <c r="N171" s="35" t="s">
        <v>1268</v>
      </c>
      <c r="O171" s="35">
        <v>63.02</v>
      </c>
      <c r="P171" s="121" t="s">
        <v>1511</v>
      </c>
      <c r="Q171" s="35" t="s">
        <v>1512</v>
      </c>
      <c r="R171" s="35"/>
      <c r="S171" s="35"/>
      <c r="T171" s="35"/>
      <c r="U171" s="35"/>
      <c r="V171" s="35"/>
      <c r="W171" s="35"/>
    </row>
    <row r="172" spans="1:23">
      <c r="A172" s="70">
        <v>171</v>
      </c>
      <c r="B172" s="36">
        <v>46101</v>
      </c>
      <c r="C172" s="35" t="s">
        <v>1513</v>
      </c>
      <c r="D172" s="35">
        <v>13071977623</v>
      </c>
      <c r="E172" s="35" t="s">
        <v>1514</v>
      </c>
      <c r="F172" s="35" t="s">
        <v>189</v>
      </c>
      <c r="G172" s="35" t="s">
        <v>248</v>
      </c>
      <c r="H172" s="35" t="s">
        <v>162</v>
      </c>
      <c r="I172" s="35"/>
      <c r="J172" s="56">
        <v>46102.5625</v>
      </c>
      <c r="K172" s="35" t="s">
        <v>687</v>
      </c>
      <c r="L172" s="35" t="s">
        <v>843</v>
      </c>
      <c r="M172" s="35" t="s">
        <v>162</v>
      </c>
      <c r="N172" s="35" t="s">
        <v>688</v>
      </c>
      <c r="O172" s="35">
        <v>299</v>
      </c>
      <c r="P172" s="35"/>
      <c r="Q172" s="35" t="s">
        <v>283</v>
      </c>
      <c r="R172" s="35">
        <v>1946</v>
      </c>
      <c r="S172" s="35"/>
      <c r="T172" s="35"/>
      <c r="U172" s="35"/>
      <c r="V172" s="35"/>
      <c r="W172" s="35"/>
    </row>
    <row r="173" ht="47.25" spans="1:23">
      <c r="A173" s="70">
        <v>172</v>
      </c>
      <c r="B173" s="36">
        <v>46102</v>
      </c>
      <c r="C173" s="35" t="s">
        <v>1515</v>
      </c>
      <c r="D173" s="35">
        <v>13220339690</v>
      </c>
      <c r="E173" s="35" t="s">
        <v>1516</v>
      </c>
      <c r="F173" s="35" t="s">
        <v>189</v>
      </c>
      <c r="G173" s="35" t="s">
        <v>1209</v>
      </c>
      <c r="H173" s="35" t="s">
        <v>162</v>
      </c>
      <c r="I173" s="35"/>
      <c r="J173" s="56">
        <v>46106.4930555556</v>
      </c>
      <c r="K173" s="35" t="s">
        <v>171</v>
      </c>
      <c r="L173" s="35" t="s">
        <v>1209</v>
      </c>
      <c r="M173" s="35"/>
      <c r="N173" s="35" t="s">
        <v>1211</v>
      </c>
      <c r="O173" s="35">
        <v>189.99</v>
      </c>
      <c r="P173" s="122" t="s">
        <v>1517</v>
      </c>
      <c r="Q173" s="35"/>
      <c r="R173" s="35"/>
      <c r="S173" s="35"/>
      <c r="T173" s="35"/>
      <c r="U173" s="35"/>
      <c r="V173" s="35"/>
      <c r="W173" s="35"/>
    </row>
    <row r="174" spans="1:23">
      <c r="A174" s="70">
        <v>173</v>
      </c>
      <c r="B174" s="36">
        <v>46103</v>
      </c>
      <c r="C174" s="35" t="s">
        <v>1518</v>
      </c>
      <c r="D174" s="35">
        <v>15651083082</v>
      </c>
      <c r="E174" s="35" t="s">
        <v>725</v>
      </c>
      <c r="F174" s="35" t="s">
        <v>189</v>
      </c>
      <c r="G174" s="35"/>
      <c r="H174" s="35" t="s">
        <v>200</v>
      </c>
      <c r="I174" s="35" t="s">
        <v>534</v>
      </c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</row>
    <row r="175" spans="1:23">
      <c r="A175" s="70">
        <v>174</v>
      </c>
      <c r="B175" s="36">
        <v>46104</v>
      </c>
      <c r="C175" s="35" t="s">
        <v>839</v>
      </c>
      <c r="D175" s="35">
        <v>15888011748</v>
      </c>
      <c r="E175" s="35" t="s">
        <v>315</v>
      </c>
      <c r="F175" s="35" t="s">
        <v>189</v>
      </c>
      <c r="G175" s="35"/>
      <c r="H175" s="35" t="s">
        <v>200</v>
      </c>
      <c r="I175" s="35" t="s">
        <v>582</v>
      </c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</row>
    <row r="176" spans="1:23">
      <c r="A176" s="70">
        <v>175</v>
      </c>
      <c r="B176" s="36">
        <v>46104</v>
      </c>
      <c r="C176" s="35" t="s">
        <v>1519</v>
      </c>
      <c r="D176" s="35">
        <v>19822809683</v>
      </c>
      <c r="E176" s="35" t="s">
        <v>725</v>
      </c>
      <c r="F176" s="35" t="s">
        <v>169</v>
      </c>
      <c r="G176" s="35"/>
      <c r="H176" s="35" t="s">
        <v>200</v>
      </c>
      <c r="I176" s="35" t="s">
        <v>582</v>
      </c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</row>
    <row r="177" spans="1:23">
      <c r="A177" s="70">
        <v>176</v>
      </c>
      <c r="B177" s="36">
        <v>46104</v>
      </c>
      <c r="C177" s="35" t="s">
        <v>1520</v>
      </c>
      <c r="D177" s="35">
        <v>13959210654</v>
      </c>
      <c r="E177" s="35" t="s">
        <v>1521</v>
      </c>
      <c r="F177" s="35" t="s">
        <v>189</v>
      </c>
      <c r="G177" s="35"/>
      <c r="H177" s="35" t="s">
        <v>200</v>
      </c>
      <c r="I177" s="35" t="s">
        <v>582</v>
      </c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</row>
    <row r="178" spans="1:23">
      <c r="A178" s="70">
        <v>177</v>
      </c>
      <c r="B178" s="36">
        <v>46105</v>
      </c>
      <c r="C178" s="35" t="s">
        <v>246</v>
      </c>
      <c r="D178" s="35">
        <v>18606699616</v>
      </c>
      <c r="E178" s="35" t="s">
        <v>1522</v>
      </c>
      <c r="F178" s="35" t="s">
        <v>169</v>
      </c>
      <c r="G178" s="35" t="s">
        <v>1236</v>
      </c>
      <c r="H178" s="35" t="s">
        <v>162</v>
      </c>
      <c r="I178" s="35"/>
      <c r="J178" s="56">
        <v>46107.5069444444</v>
      </c>
      <c r="K178" s="35" t="s">
        <v>1523</v>
      </c>
      <c r="L178" s="35" t="s">
        <v>1247</v>
      </c>
      <c r="M178" s="35"/>
      <c r="N178" s="35" t="s">
        <v>312</v>
      </c>
      <c r="O178" s="35">
        <v>22.3</v>
      </c>
      <c r="P178" s="121" t="s">
        <v>1524</v>
      </c>
      <c r="Q178" s="35" t="s">
        <v>1512</v>
      </c>
      <c r="R178" s="35"/>
      <c r="S178" s="35"/>
      <c r="T178" s="35"/>
      <c r="U178" s="35"/>
      <c r="V178" s="35"/>
      <c r="W178" s="35"/>
    </row>
    <row r="179" spans="1:23">
      <c r="A179" s="70">
        <v>178</v>
      </c>
      <c r="B179" s="36">
        <v>46107</v>
      </c>
      <c r="C179" s="35" t="s">
        <v>1525</v>
      </c>
      <c r="D179" s="35">
        <v>13317832789</v>
      </c>
      <c r="E179" s="35" t="s">
        <v>315</v>
      </c>
      <c r="F179" s="35" t="s">
        <v>189</v>
      </c>
      <c r="G179" s="35" t="s">
        <v>1229</v>
      </c>
      <c r="H179" s="35" t="s">
        <v>162</v>
      </c>
      <c r="I179" s="35"/>
      <c r="J179" s="56">
        <v>46107.4930555556</v>
      </c>
      <c r="K179" s="35" t="s">
        <v>196</v>
      </c>
      <c r="L179" s="35" t="s">
        <v>172</v>
      </c>
      <c r="M179" s="35"/>
      <c r="N179" s="35" t="s">
        <v>1526</v>
      </c>
      <c r="O179" s="35">
        <v>299</v>
      </c>
      <c r="P179" s="35"/>
      <c r="Q179" s="35"/>
      <c r="R179" s="35"/>
      <c r="S179" s="35"/>
      <c r="T179" s="35"/>
      <c r="U179" s="35"/>
      <c r="V179" s="35"/>
      <c r="W179" s="35"/>
    </row>
    <row r="180" spans="1:23">
      <c r="A180" s="70">
        <v>179</v>
      </c>
      <c r="B180" s="36">
        <v>46107</v>
      </c>
      <c r="C180" s="35" t="s">
        <v>1527</v>
      </c>
      <c r="D180" s="35">
        <v>13081922266</v>
      </c>
      <c r="E180" s="35" t="s">
        <v>773</v>
      </c>
      <c r="F180" s="35" t="s">
        <v>189</v>
      </c>
      <c r="G180" s="35"/>
      <c r="H180" s="35" t="s">
        <v>200</v>
      </c>
      <c r="I180" s="35" t="s">
        <v>1435</v>
      </c>
      <c r="J180" s="56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</row>
    <row r="181" spans="1:23">
      <c r="A181" s="70">
        <v>180</v>
      </c>
      <c r="B181" s="36">
        <v>46108</v>
      </c>
      <c r="C181" s="35" t="s">
        <v>1528</v>
      </c>
      <c r="D181" s="35">
        <v>13056767869</v>
      </c>
      <c r="E181" s="35" t="s">
        <v>860</v>
      </c>
      <c r="F181" s="35" t="s">
        <v>189</v>
      </c>
      <c r="G181" s="35" t="s">
        <v>1236</v>
      </c>
      <c r="H181" s="35" t="s">
        <v>162</v>
      </c>
      <c r="I181" s="35" t="s">
        <v>1529</v>
      </c>
      <c r="J181" s="35"/>
      <c r="K181" s="35"/>
      <c r="L181" s="35"/>
      <c r="M181" s="35"/>
      <c r="N181" s="35"/>
      <c r="O181" s="35"/>
      <c r="P181" s="35"/>
      <c r="Q181" s="35" t="s">
        <v>688</v>
      </c>
      <c r="R181" s="35">
        <v>299</v>
      </c>
      <c r="S181" s="35"/>
      <c r="T181" s="35"/>
      <c r="U181" s="35"/>
      <c r="V181" s="35"/>
      <c r="W181" s="35"/>
    </row>
    <row r="182" spans="1:23">
      <c r="A182" s="70">
        <v>181</v>
      </c>
      <c r="B182" s="36">
        <v>46111</v>
      </c>
      <c r="C182" s="35" t="s">
        <v>1530</v>
      </c>
      <c r="D182" s="35">
        <v>13857814066</v>
      </c>
      <c r="E182" s="35" t="s">
        <v>315</v>
      </c>
      <c r="F182" s="35" t="s">
        <v>189</v>
      </c>
      <c r="G182" s="35" t="s">
        <v>1209</v>
      </c>
      <c r="H182" s="35" t="s">
        <v>162</v>
      </c>
      <c r="I182" s="35"/>
      <c r="J182" s="56">
        <v>46112.5</v>
      </c>
      <c r="K182" s="35" t="s">
        <v>196</v>
      </c>
      <c r="L182" s="35" t="s">
        <v>172</v>
      </c>
      <c r="M182" s="35"/>
      <c r="N182" s="35" t="s">
        <v>662</v>
      </c>
      <c r="O182" s="35">
        <v>113</v>
      </c>
      <c r="P182" s="121" t="s">
        <v>1531</v>
      </c>
      <c r="Q182" s="35"/>
      <c r="R182" s="35"/>
      <c r="S182" s="35"/>
      <c r="T182" s="35"/>
      <c r="U182" s="35"/>
      <c r="V182" s="35"/>
      <c r="W182" s="35"/>
    </row>
    <row r="183" spans="1:23">
      <c r="A183" s="70">
        <v>182</v>
      </c>
      <c r="B183" s="36">
        <v>46111</v>
      </c>
      <c r="C183" s="35" t="s">
        <v>1532</v>
      </c>
      <c r="D183" s="35">
        <v>13136319372</v>
      </c>
      <c r="E183" s="35" t="s">
        <v>315</v>
      </c>
      <c r="F183" s="35" t="s">
        <v>169</v>
      </c>
      <c r="G183" s="35" t="s">
        <v>248</v>
      </c>
      <c r="H183" s="35" t="s">
        <v>162</v>
      </c>
      <c r="I183" s="35"/>
      <c r="J183" s="56">
        <v>46111.8125</v>
      </c>
      <c r="K183" s="35" t="s">
        <v>196</v>
      </c>
      <c r="L183" s="35" t="s">
        <v>719</v>
      </c>
      <c r="M183" s="35"/>
      <c r="N183" s="35" t="s">
        <v>522</v>
      </c>
      <c r="O183" s="35">
        <v>106.4</v>
      </c>
      <c r="P183" s="121" t="s">
        <v>1533</v>
      </c>
      <c r="Q183" s="35"/>
      <c r="R183" s="35"/>
      <c r="S183" s="35"/>
      <c r="T183" s="35"/>
      <c r="U183" s="35"/>
      <c r="V183" s="35"/>
      <c r="W183" s="35"/>
    </row>
    <row r="184" spans="1:23">
      <c r="A184" s="70">
        <v>183</v>
      </c>
      <c r="B184" s="36">
        <v>46111</v>
      </c>
      <c r="C184" s="35" t="s">
        <v>1534</v>
      </c>
      <c r="D184" s="35">
        <v>18368457396</v>
      </c>
      <c r="E184" s="35" t="s">
        <v>1535</v>
      </c>
      <c r="F184" s="35" t="s">
        <v>189</v>
      </c>
      <c r="G184" s="35" t="s">
        <v>1236</v>
      </c>
      <c r="H184" s="35" t="s">
        <v>162</v>
      </c>
      <c r="I184" s="35"/>
      <c r="J184" s="56">
        <v>46113.8125</v>
      </c>
      <c r="K184" s="35" t="s">
        <v>731</v>
      </c>
      <c r="L184" s="35" t="s">
        <v>742</v>
      </c>
      <c r="M184" s="35" t="s">
        <v>162</v>
      </c>
      <c r="N184" s="35" t="s">
        <v>688</v>
      </c>
      <c r="O184" s="35">
        <v>299</v>
      </c>
      <c r="P184" s="35"/>
      <c r="Q184" s="17" t="s">
        <v>1536</v>
      </c>
      <c r="R184" s="17">
        <v>3281</v>
      </c>
      <c r="S184" s="35"/>
      <c r="T184" s="35"/>
      <c r="U184" s="35"/>
      <c r="V184" s="35"/>
      <c r="W184" s="35"/>
    </row>
    <row r="185" spans="1:23">
      <c r="A185" s="70">
        <v>184</v>
      </c>
      <c r="B185" s="36">
        <v>46111</v>
      </c>
      <c r="C185" s="35" t="s">
        <v>1537</v>
      </c>
      <c r="D185" s="35">
        <v>13586638786</v>
      </c>
      <c r="E185" s="35" t="s">
        <v>1460</v>
      </c>
      <c r="F185" s="35" t="s">
        <v>1538</v>
      </c>
      <c r="G185" s="35" t="s">
        <v>1236</v>
      </c>
      <c r="H185" s="35" t="s">
        <v>162</v>
      </c>
      <c r="I185" s="35"/>
      <c r="J185" s="56">
        <v>46113.8125</v>
      </c>
      <c r="K185" s="35" t="s">
        <v>731</v>
      </c>
      <c r="L185" s="35" t="s">
        <v>248</v>
      </c>
      <c r="M185" s="35"/>
      <c r="N185" s="35"/>
      <c r="O185" s="35"/>
      <c r="P185" s="35"/>
      <c r="Q185" s="35" t="s">
        <v>688</v>
      </c>
      <c r="R185" s="35">
        <v>299</v>
      </c>
      <c r="S185" s="35"/>
      <c r="T185" s="35"/>
      <c r="U185" s="35"/>
      <c r="V185" s="35"/>
      <c r="W185" s="35"/>
    </row>
    <row r="186" spans="1:23">
      <c r="A186" s="70">
        <v>185</v>
      </c>
      <c r="B186" s="36">
        <v>46111</v>
      </c>
      <c r="C186" s="35" t="s">
        <v>1539</v>
      </c>
      <c r="D186" s="35">
        <v>15925888574</v>
      </c>
      <c r="E186" s="35" t="s">
        <v>159</v>
      </c>
      <c r="F186" s="35" t="s">
        <v>169</v>
      </c>
      <c r="G186" s="35"/>
      <c r="H186" s="35" t="s">
        <v>200</v>
      </c>
      <c r="I186" s="35" t="s">
        <v>534</v>
      </c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</row>
    <row r="187" spans="1:23">
      <c r="A187" s="70">
        <v>186</v>
      </c>
      <c r="B187" s="36">
        <v>46111</v>
      </c>
      <c r="C187" s="35" t="s">
        <v>1154</v>
      </c>
      <c r="D187" s="35">
        <v>18367693267</v>
      </c>
      <c r="E187" s="35" t="s">
        <v>1540</v>
      </c>
      <c r="F187" s="35" t="s">
        <v>169</v>
      </c>
      <c r="G187" s="35" t="s">
        <v>1236</v>
      </c>
      <c r="H187" s="35" t="s">
        <v>162</v>
      </c>
      <c r="I187" s="35"/>
      <c r="J187" s="56">
        <v>46112.8125</v>
      </c>
      <c r="K187" s="35" t="s">
        <v>296</v>
      </c>
      <c r="L187" s="35" t="s">
        <v>684</v>
      </c>
      <c r="M187" s="35"/>
      <c r="N187" s="35" t="s">
        <v>429</v>
      </c>
      <c r="O187" s="35">
        <v>372.4</v>
      </c>
      <c r="P187" s="121" t="s">
        <v>1541</v>
      </c>
      <c r="Q187" s="35"/>
      <c r="R187" s="35"/>
      <c r="S187" s="35"/>
      <c r="T187" s="35"/>
      <c r="U187" s="35"/>
      <c r="V187" s="35"/>
      <c r="W187" s="35"/>
    </row>
    <row r="188" spans="1:23">
      <c r="A188" s="70">
        <v>187</v>
      </c>
      <c r="B188" s="36">
        <v>46111</v>
      </c>
      <c r="C188" s="35" t="s">
        <v>1542</v>
      </c>
      <c r="D188" s="35">
        <v>13175999900</v>
      </c>
      <c r="E188" s="35" t="s">
        <v>168</v>
      </c>
      <c r="F188" s="35" t="s">
        <v>189</v>
      </c>
      <c r="G188" s="35" t="s">
        <v>1229</v>
      </c>
      <c r="H188" s="35" t="s">
        <v>200</v>
      </c>
      <c r="I188" s="35" t="s">
        <v>366</v>
      </c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</row>
    <row r="189" spans="1:23">
      <c r="A189" s="70">
        <v>188</v>
      </c>
      <c r="B189" s="36">
        <v>46112</v>
      </c>
      <c r="C189" s="35" t="s">
        <v>1543</v>
      </c>
      <c r="D189" s="35">
        <v>15658222908</v>
      </c>
      <c r="E189" s="35" t="s">
        <v>1544</v>
      </c>
      <c r="F189" s="35" t="s">
        <v>189</v>
      </c>
      <c r="G189" s="35" t="s">
        <v>1229</v>
      </c>
      <c r="H189" s="35" t="s">
        <v>162</v>
      </c>
      <c r="I189" s="35"/>
      <c r="J189" s="56">
        <v>46113.7291666667</v>
      </c>
      <c r="K189" s="35" t="s">
        <v>296</v>
      </c>
      <c r="L189" s="35" t="s">
        <v>1229</v>
      </c>
      <c r="M189" s="35"/>
      <c r="N189" s="35" t="s">
        <v>468</v>
      </c>
      <c r="O189" s="35">
        <v>386</v>
      </c>
      <c r="P189" s="121" t="s">
        <v>1545</v>
      </c>
      <c r="Q189" s="35"/>
      <c r="R189" s="35"/>
      <c r="S189" s="35"/>
      <c r="T189" s="35"/>
      <c r="U189" s="35"/>
      <c r="V189" s="35"/>
      <c r="W189" s="35"/>
    </row>
    <row r="190" spans="1:23">
      <c r="A190" s="70">
        <v>189</v>
      </c>
      <c r="B190" s="36">
        <v>46112</v>
      </c>
      <c r="C190" s="35" t="s">
        <v>1546</v>
      </c>
      <c r="D190" s="35">
        <v>13176508679</v>
      </c>
      <c r="E190" s="35" t="s">
        <v>581</v>
      </c>
      <c r="F190" s="35" t="s">
        <v>169</v>
      </c>
      <c r="G190" s="35" t="s">
        <v>1209</v>
      </c>
      <c r="H190" s="35" t="s">
        <v>162</v>
      </c>
      <c r="I190" s="35"/>
      <c r="J190" s="56">
        <v>46112.5833333333</v>
      </c>
      <c r="K190" s="35" t="s">
        <v>296</v>
      </c>
      <c r="L190" s="35" t="s">
        <v>1209</v>
      </c>
      <c r="M190" s="35" t="s">
        <v>162</v>
      </c>
      <c r="N190" s="35" t="s">
        <v>429</v>
      </c>
      <c r="O190" s="35">
        <v>363.19</v>
      </c>
      <c r="P190" s="121" t="s">
        <v>1547</v>
      </c>
      <c r="Q190" s="35" t="s">
        <v>1548</v>
      </c>
      <c r="R190" s="35">
        <v>10999</v>
      </c>
      <c r="S190" s="35"/>
      <c r="T190" s="35"/>
      <c r="U190" s="35"/>
      <c r="V190" s="35"/>
      <c r="W190" s="35"/>
    </row>
    <row r="191" s="20" customFormat="1" spans="1:23">
      <c r="A191" s="70">
        <v>190</v>
      </c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</row>
    <row r="192" spans="1:23">
      <c r="A192" s="70">
        <v>191</v>
      </c>
      <c r="B192" s="36">
        <v>46113</v>
      </c>
      <c r="C192" s="35" t="s">
        <v>175</v>
      </c>
      <c r="D192" s="35">
        <v>15158321006</v>
      </c>
      <c r="E192" s="35" t="s">
        <v>1549</v>
      </c>
      <c r="F192" s="35" t="s">
        <v>189</v>
      </c>
      <c r="G192" s="35" t="s">
        <v>161</v>
      </c>
      <c r="H192" s="35" t="s">
        <v>162</v>
      </c>
      <c r="I192" s="35" t="s">
        <v>1550</v>
      </c>
      <c r="J192" s="56">
        <v>46116.7291666667</v>
      </c>
      <c r="K192" s="35" t="s">
        <v>296</v>
      </c>
      <c r="L192" s="35" t="s">
        <v>742</v>
      </c>
      <c r="M192" s="35"/>
      <c r="N192" s="35" t="s">
        <v>1551</v>
      </c>
      <c r="O192" s="35">
        <v>286</v>
      </c>
      <c r="P192" s="121" t="s">
        <v>1552</v>
      </c>
      <c r="Q192" s="35"/>
      <c r="R192" s="35"/>
      <c r="S192" s="35"/>
      <c r="T192" s="35"/>
      <c r="U192" s="35"/>
      <c r="V192" s="35"/>
      <c r="W192" s="35"/>
    </row>
    <row r="193" spans="1:23">
      <c r="A193" s="70">
        <v>192</v>
      </c>
      <c r="B193" s="36">
        <v>46113</v>
      </c>
      <c r="C193" s="35" t="s">
        <v>1553</v>
      </c>
      <c r="D193" s="35">
        <v>18516313145</v>
      </c>
      <c r="E193" s="35" t="s">
        <v>1554</v>
      </c>
      <c r="F193" s="35" t="s">
        <v>189</v>
      </c>
      <c r="G193" s="35"/>
      <c r="H193" s="35" t="s">
        <v>200</v>
      </c>
      <c r="I193" s="35"/>
      <c r="J193" s="56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</row>
    <row r="194" ht="47.25" spans="1:23">
      <c r="A194" s="70">
        <v>193</v>
      </c>
      <c r="B194" s="36">
        <v>46114</v>
      </c>
      <c r="C194" s="35" t="s">
        <v>1555</v>
      </c>
      <c r="D194" s="35">
        <v>17508500009</v>
      </c>
      <c r="E194" s="35" t="s">
        <v>725</v>
      </c>
      <c r="F194" s="35" t="s">
        <v>189</v>
      </c>
      <c r="G194" s="35" t="s">
        <v>248</v>
      </c>
      <c r="H194" s="35" t="s">
        <v>162</v>
      </c>
      <c r="I194" s="35"/>
      <c r="J194" s="56">
        <v>46115.8125</v>
      </c>
      <c r="K194" s="35" t="s">
        <v>171</v>
      </c>
      <c r="L194" s="35" t="s">
        <v>684</v>
      </c>
      <c r="M194" s="35" t="s">
        <v>162</v>
      </c>
      <c r="N194" s="35" t="s">
        <v>1211</v>
      </c>
      <c r="O194" s="35">
        <v>189.99</v>
      </c>
      <c r="P194" s="38" t="s">
        <v>1556</v>
      </c>
      <c r="Q194" s="35" t="s">
        <v>1557</v>
      </c>
      <c r="R194" s="35">
        <v>1980</v>
      </c>
      <c r="S194" s="35"/>
      <c r="T194" s="35"/>
      <c r="U194" s="35"/>
      <c r="V194" s="35"/>
      <c r="W194" s="35"/>
    </row>
    <row r="195" spans="1:23">
      <c r="A195" s="70">
        <v>194</v>
      </c>
      <c r="B195" s="36">
        <v>46114</v>
      </c>
      <c r="C195" s="35" t="s">
        <v>1558</v>
      </c>
      <c r="D195" s="35">
        <v>13780090618</v>
      </c>
      <c r="E195" s="35" t="s">
        <v>1559</v>
      </c>
      <c r="F195" s="35" t="s">
        <v>189</v>
      </c>
      <c r="G195" s="35" t="s">
        <v>161</v>
      </c>
      <c r="H195" s="35" t="s">
        <v>162</v>
      </c>
      <c r="I195" s="35" t="s">
        <v>1550</v>
      </c>
      <c r="J195" s="56">
        <v>46116.5625</v>
      </c>
      <c r="K195" s="35" t="s">
        <v>296</v>
      </c>
      <c r="L195" s="35" t="s">
        <v>164</v>
      </c>
      <c r="M195" s="35"/>
      <c r="N195" s="35" t="s">
        <v>468</v>
      </c>
      <c r="O195" s="35">
        <v>387</v>
      </c>
      <c r="P195" s="121" t="s">
        <v>1560</v>
      </c>
      <c r="Q195" s="35"/>
      <c r="R195" s="35"/>
      <c r="S195" s="35"/>
      <c r="T195" s="35"/>
      <c r="U195" s="35"/>
      <c r="V195" s="35"/>
      <c r="W195" s="35"/>
    </row>
    <row r="196" spans="1:23">
      <c r="A196" s="70">
        <v>195</v>
      </c>
      <c r="B196" s="36">
        <v>46118</v>
      </c>
      <c r="C196" s="35" t="s">
        <v>1561</v>
      </c>
      <c r="D196" s="35"/>
      <c r="E196" s="35" t="s">
        <v>1562</v>
      </c>
      <c r="F196" s="35" t="s">
        <v>189</v>
      </c>
      <c r="G196" s="35" t="s">
        <v>1236</v>
      </c>
      <c r="H196" s="35" t="s">
        <v>200</v>
      </c>
      <c r="I196" s="35" t="s">
        <v>366</v>
      </c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</row>
    <row r="197" spans="1:23">
      <c r="A197" s="70">
        <v>196</v>
      </c>
      <c r="B197" s="36">
        <v>46119</v>
      </c>
      <c r="C197" s="35" t="s">
        <v>1563</v>
      </c>
      <c r="D197" s="35">
        <v>13805887769</v>
      </c>
      <c r="E197" s="35" t="s">
        <v>1564</v>
      </c>
      <c r="F197" s="35" t="s">
        <v>189</v>
      </c>
      <c r="G197" s="35" t="s">
        <v>1209</v>
      </c>
      <c r="H197" s="35" t="s">
        <v>162</v>
      </c>
      <c r="I197" s="35"/>
      <c r="J197" s="56">
        <v>46120.5</v>
      </c>
      <c r="K197" s="35" t="s">
        <v>296</v>
      </c>
      <c r="L197" s="35" t="s">
        <v>684</v>
      </c>
      <c r="M197" s="35"/>
      <c r="N197" s="35" t="s">
        <v>468</v>
      </c>
      <c r="O197" s="35">
        <v>387</v>
      </c>
      <c r="P197" s="121" t="s">
        <v>1565</v>
      </c>
      <c r="Q197" s="35"/>
      <c r="R197" s="35"/>
      <c r="S197" s="35"/>
      <c r="T197" s="35"/>
      <c r="U197" s="35"/>
      <c r="V197" s="35"/>
      <c r="W197" s="35"/>
    </row>
    <row r="198" spans="1:23">
      <c r="A198" s="70">
        <v>197</v>
      </c>
      <c r="B198" s="36">
        <v>46119</v>
      </c>
      <c r="C198" s="35" t="s">
        <v>1566</v>
      </c>
      <c r="D198" s="35">
        <v>17787201910</v>
      </c>
      <c r="E198" s="35" t="s">
        <v>1567</v>
      </c>
      <c r="F198" s="35" t="s">
        <v>189</v>
      </c>
      <c r="G198" s="35" t="s">
        <v>1236</v>
      </c>
      <c r="H198" s="35" t="s">
        <v>162</v>
      </c>
      <c r="I198" s="35"/>
      <c r="J198" s="56">
        <v>46120.8125</v>
      </c>
      <c r="K198" s="35" t="s">
        <v>1568</v>
      </c>
      <c r="L198" s="35" t="s">
        <v>1218</v>
      </c>
      <c r="M198" s="35"/>
      <c r="N198" s="35" t="s">
        <v>285</v>
      </c>
      <c r="O198" s="35">
        <v>93</v>
      </c>
      <c r="P198" s="121" t="s">
        <v>1569</v>
      </c>
      <c r="Q198" s="35"/>
      <c r="R198" s="35"/>
      <c r="S198" s="35"/>
      <c r="T198" s="35"/>
      <c r="U198" s="35"/>
      <c r="V198" s="35"/>
      <c r="W198" s="35"/>
    </row>
    <row r="199" spans="1:23">
      <c r="A199" s="70">
        <v>198</v>
      </c>
      <c r="B199" s="36">
        <v>46119</v>
      </c>
      <c r="C199" s="35" t="s">
        <v>1570</v>
      </c>
      <c r="D199" s="35"/>
      <c r="E199" s="35" t="s">
        <v>1446</v>
      </c>
      <c r="F199" s="35" t="s">
        <v>169</v>
      </c>
      <c r="G199" s="35"/>
      <c r="H199" s="35" t="s">
        <v>200</v>
      </c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</row>
    <row r="200" spans="1:23">
      <c r="A200" s="70">
        <v>199</v>
      </c>
      <c r="B200" s="36">
        <v>46119</v>
      </c>
      <c r="C200" s="35" t="s">
        <v>1571</v>
      </c>
      <c r="D200" s="35">
        <v>13355955723</v>
      </c>
      <c r="E200" s="35" t="s">
        <v>159</v>
      </c>
      <c r="F200" s="35" t="s">
        <v>189</v>
      </c>
      <c r="G200" s="35"/>
      <c r="H200" s="35" t="s">
        <v>200</v>
      </c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</row>
    <row r="201" spans="1:23">
      <c r="A201" s="70">
        <v>200</v>
      </c>
      <c r="B201" s="36">
        <v>46121</v>
      </c>
      <c r="C201" s="35" t="s">
        <v>1572</v>
      </c>
      <c r="D201" s="35">
        <v>18916651347</v>
      </c>
      <c r="E201" s="35" t="s">
        <v>860</v>
      </c>
      <c r="F201" s="35" t="s">
        <v>189</v>
      </c>
      <c r="G201" s="35"/>
      <c r="H201" s="35" t="s">
        <v>200</v>
      </c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</row>
    <row r="202" spans="1:23">
      <c r="A202" s="70">
        <v>201</v>
      </c>
      <c r="B202" s="36">
        <v>46122</v>
      </c>
      <c r="C202" s="35" t="s">
        <v>1573</v>
      </c>
      <c r="D202" s="35">
        <v>13777640637</v>
      </c>
      <c r="E202" s="35" t="s">
        <v>860</v>
      </c>
      <c r="F202" s="35" t="s">
        <v>189</v>
      </c>
      <c r="G202" s="35"/>
      <c r="H202" s="35" t="s">
        <v>200</v>
      </c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</row>
    <row r="203" spans="1:23">
      <c r="A203" s="70">
        <v>202</v>
      </c>
      <c r="B203" s="36">
        <v>46122</v>
      </c>
      <c r="C203" s="35" t="s">
        <v>317</v>
      </c>
      <c r="D203" s="35">
        <v>13777173231</v>
      </c>
      <c r="E203" s="35" t="s">
        <v>188</v>
      </c>
      <c r="F203" s="35" t="s">
        <v>189</v>
      </c>
      <c r="G203" s="35"/>
      <c r="H203" s="35" t="s">
        <v>200</v>
      </c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</row>
    <row r="204" spans="1:23">
      <c r="A204" s="70">
        <v>203</v>
      </c>
      <c r="B204" s="36">
        <v>46124</v>
      </c>
      <c r="C204" s="35" t="s">
        <v>1574</v>
      </c>
      <c r="D204" s="35">
        <v>15658471696</v>
      </c>
      <c r="E204" s="35" t="s">
        <v>159</v>
      </c>
      <c r="F204" s="35" t="s">
        <v>189</v>
      </c>
      <c r="G204" s="35" t="s">
        <v>843</v>
      </c>
      <c r="H204" s="35" t="s">
        <v>162</v>
      </c>
      <c r="I204" s="35"/>
      <c r="J204" s="56">
        <v>46128.71875</v>
      </c>
      <c r="K204" s="35" t="s">
        <v>370</v>
      </c>
      <c r="L204" s="35" t="s">
        <v>843</v>
      </c>
      <c r="M204" s="35" t="s">
        <v>162</v>
      </c>
      <c r="N204" s="35" t="s">
        <v>468</v>
      </c>
      <c r="O204" s="35">
        <v>387</v>
      </c>
      <c r="P204" s="121" t="s">
        <v>1575</v>
      </c>
      <c r="Q204" s="35" t="s">
        <v>986</v>
      </c>
      <c r="R204" s="35">
        <v>5999</v>
      </c>
      <c r="S204" s="35"/>
      <c r="T204" s="35"/>
      <c r="U204" s="35"/>
      <c r="V204" s="35"/>
      <c r="W204" s="35"/>
    </row>
    <row r="205" spans="1:23">
      <c r="A205" s="70">
        <v>204</v>
      </c>
      <c r="B205" s="36">
        <v>46124</v>
      </c>
      <c r="C205" s="35" t="s">
        <v>1576</v>
      </c>
      <c r="D205" s="35">
        <v>13355655346</v>
      </c>
      <c r="E205" s="35" t="s">
        <v>315</v>
      </c>
      <c r="F205" s="35" t="s">
        <v>189</v>
      </c>
      <c r="G205" s="35"/>
      <c r="H205" s="35" t="s">
        <v>200</v>
      </c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</row>
    <row r="206" spans="1:23">
      <c r="A206" s="70">
        <v>205</v>
      </c>
      <c r="B206" s="36">
        <v>46125</v>
      </c>
      <c r="C206" s="35" t="s">
        <v>317</v>
      </c>
      <c r="D206" s="35">
        <v>15057441688</v>
      </c>
      <c r="E206" s="35" t="s">
        <v>159</v>
      </c>
      <c r="F206" s="35" t="s">
        <v>189</v>
      </c>
      <c r="G206" s="35" t="s">
        <v>843</v>
      </c>
      <c r="H206" s="35" t="s">
        <v>162</v>
      </c>
      <c r="I206" s="35"/>
      <c r="J206" s="56">
        <v>46134.7708333333</v>
      </c>
      <c r="K206" s="35" t="s">
        <v>296</v>
      </c>
      <c r="L206" s="35" t="s">
        <v>843</v>
      </c>
      <c r="M206" s="35"/>
      <c r="N206" s="35" t="s">
        <v>468</v>
      </c>
      <c r="O206" s="35">
        <v>386</v>
      </c>
      <c r="P206" s="121" t="s">
        <v>1577</v>
      </c>
      <c r="Q206" s="35"/>
      <c r="R206" s="35"/>
      <c r="S206" s="35"/>
      <c r="T206" s="35"/>
      <c r="U206" s="35"/>
      <c r="V206" s="35"/>
      <c r="W206" s="35"/>
    </row>
    <row r="207" spans="1:23">
      <c r="A207" s="70">
        <v>206</v>
      </c>
      <c r="B207" s="36">
        <v>46125</v>
      </c>
      <c r="C207" s="35" t="s">
        <v>1578</v>
      </c>
      <c r="D207" s="35">
        <v>15067850665</v>
      </c>
      <c r="E207" s="35" t="s">
        <v>159</v>
      </c>
      <c r="F207" s="35" t="s">
        <v>396</v>
      </c>
      <c r="G207" s="35" t="s">
        <v>1229</v>
      </c>
      <c r="H207" s="35" t="s">
        <v>162</v>
      </c>
      <c r="I207" s="35" t="s">
        <v>1579</v>
      </c>
      <c r="J207" s="56">
        <v>46134.7708333333</v>
      </c>
      <c r="K207" s="35" t="s">
        <v>296</v>
      </c>
      <c r="L207" s="35" t="s">
        <v>1229</v>
      </c>
      <c r="M207" s="35"/>
      <c r="N207" s="35" t="s">
        <v>468</v>
      </c>
      <c r="O207" s="35">
        <v>391</v>
      </c>
      <c r="P207" s="121" t="s">
        <v>1580</v>
      </c>
      <c r="Q207" s="35"/>
      <c r="R207" s="35"/>
      <c r="S207" s="35"/>
      <c r="T207" s="35"/>
      <c r="U207" s="35"/>
      <c r="V207" s="35"/>
      <c r="W207" s="35"/>
    </row>
    <row r="208" spans="1:23">
      <c r="A208" s="70">
        <v>207</v>
      </c>
      <c r="B208" s="36">
        <v>46125</v>
      </c>
      <c r="C208" s="35" t="s">
        <v>1581</v>
      </c>
      <c r="D208" s="35">
        <v>15726816410</v>
      </c>
      <c r="E208" s="35" t="s">
        <v>1582</v>
      </c>
      <c r="F208" s="35" t="s">
        <v>704</v>
      </c>
      <c r="G208" s="35" t="s">
        <v>1209</v>
      </c>
      <c r="H208" s="35" t="s">
        <v>162</v>
      </c>
      <c r="I208" s="35"/>
      <c r="J208" s="56">
        <v>46126.7291666667</v>
      </c>
      <c r="K208" s="35" t="s">
        <v>296</v>
      </c>
      <c r="L208" s="35" t="s">
        <v>1209</v>
      </c>
      <c r="M208" s="35"/>
      <c r="N208" s="35" t="s">
        <v>1583</v>
      </c>
      <c r="O208" s="35" t="s">
        <v>1584</v>
      </c>
      <c r="P208" s="121" t="s">
        <v>1585</v>
      </c>
      <c r="Q208" s="35"/>
      <c r="R208" s="35"/>
      <c r="S208" s="35"/>
      <c r="T208" s="35"/>
      <c r="U208" s="35"/>
      <c r="V208" s="35"/>
      <c r="W208" s="35"/>
    </row>
    <row r="209" spans="1:23">
      <c r="A209" s="70">
        <v>208</v>
      </c>
      <c r="B209" s="36">
        <v>46126</v>
      </c>
      <c r="C209" s="35" t="s">
        <v>1586</v>
      </c>
      <c r="D209" s="35">
        <v>17682458965</v>
      </c>
      <c r="E209" s="35" t="s">
        <v>1587</v>
      </c>
      <c r="F209" s="35" t="s">
        <v>189</v>
      </c>
      <c r="G209" s="35" t="s">
        <v>684</v>
      </c>
      <c r="H209" s="35" t="s">
        <v>162</v>
      </c>
      <c r="I209" s="35"/>
      <c r="J209" s="56">
        <v>46126.8055555556</v>
      </c>
      <c r="K209" s="35" t="s">
        <v>296</v>
      </c>
      <c r="L209" s="35" t="s">
        <v>684</v>
      </c>
      <c r="M209" s="35"/>
      <c r="N209" s="35" t="s">
        <v>468</v>
      </c>
      <c r="O209" s="35">
        <v>387</v>
      </c>
      <c r="P209" s="121" t="s">
        <v>1588</v>
      </c>
      <c r="Q209" s="35"/>
      <c r="R209" s="35"/>
      <c r="S209" s="35"/>
      <c r="T209" s="35"/>
      <c r="U209" s="35"/>
      <c r="V209" s="35"/>
      <c r="W209" s="35"/>
    </row>
    <row r="210" spans="1:23">
      <c r="A210" s="70">
        <v>209</v>
      </c>
      <c r="B210" s="36">
        <v>46128</v>
      </c>
      <c r="C210" s="35" t="s">
        <v>1589</v>
      </c>
      <c r="D210" s="35">
        <v>13693177678</v>
      </c>
      <c r="E210" s="35" t="s">
        <v>725</v>
      </c>
      <c r="F210" s="35" t="s">
        <v>189</v>
      </c>
      <c r="G210" s="35"/>
      <c r="H210" s="35" t="s">
        <v>200</v>
      </c>
      <c r="I210" s="35"/>
      <c r="J210" s="56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</row>
    <row r="211" spans="1:23">
      <c r="A211" s="70">
        <v>210</v>
      </c>
      <c r="B211" s="36">
        <v>46128</v>
      </c>
      <c r="C211" s="35" t="s">
        <v>1590</v>
      </c>
      <c r="D211" s="35">
        <v>15958802639</v>
      </c>
      <c r="E211" s="35" t="s">
        <v>1591</v>
      </c>
      <c r="F211" s="35" t="s">
        <v>189</v>
      </c>
      <c r="G211" s="35"/>
      <c r="H211" s="35" t="s">
        <v>200</v>
      </c>
      <c r="I211" s="35"/>
      <c r="J211" s="56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</row>
    <row r="212" spans="1:23">
      <c r="A212" s="70">
        <v>211</v>
      </c>
      <c r="B212" s="36">
        <v>46129</v>
      </c>
      <c r="C212" s="35" t="s">
        <v>1592</v>
      </c>
      <c r="D212" s="35">
        <v>18525424778</v>
      </c>
      <c r="E212" s="35" t="s">
        <v>1593</v>
      </c>
      <c r="F212" s="35" t="s">
        <v>189</v>
      </c>
      <c r="G212" s="35" t="s">
        <v>684</v>
      </c>
      <c r="H212" s="35" t="s">
        <v>162</v>
      </c>
      <c r="I212" s="35"/>
      <c r="J212" s="56">
        <v>46130.375</v>
      </c>
      <c r="K212" s="35" t="s">
        <v>296</v>
      </c>
      <c r="L212" s="35" t="s">
        <v>843</v>
      </c>
      <c r="M212" s="35"/>
      <c r="N212" s="35" t="s">
        <v>468</v>
      </c>
      <c r="O212" s="35">
        <v>387</v>
      </c>
      <c r="P212" s="121" t="s">
        <v>1594</v>
      </c>
      <c r="Q212" s="35"/>
      <c r="R212" s="35"/>
      <c r="S212" s="35"/>
      <c r="T212" s="35"/>
      <c r="U212" s="35"/>
      <c r="V212" s="35"/>
      <c r="W212" s="35"/>
    </row>
    <row r="213" spans="1:23">
      <c r="A213" s="70">
        <v>212</v>
      </c>
      <c r="B213" s="36">
        <v>46130</v>
      </c>
      <c r="C213" s="35" t="s">
        <v>1595</v>
      </c>
      <c r="D213" s="35">
        <v>19329070798</v>
      </c>
      <c r="E213" s="35" t="s">
        <v>1596</v>
      </c>
      <c r="F213" s="35" t="s">
        <v>189</v>
      </c>
      <c r="G213" s="35"/>
      <c r="H213" s="35" t="s">
        <v>200</v>
      </c>
      <c r="I213" s="35"/>
      <c r="J213" s="56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</row>
    <row r="214" ht="47.25" spans="1:23">
      <c r="A214" s="70">
        <v>213</v>
      </c>
      <c r="B214" s="36">
        <v>46131</v>
      </c>
      <c r="C214" s="35" t="s">
        <v>1597</v>
      </c>
      <c r="D214" s="35">
        <v>18352937828</v>
      </c>
      <c r="E214" s="35" t="s">
        <v>315</v>
      </c>
      <c r="F214" s="35" t="s">
        <v>189</v>
      </c>
      <c r="G214" s="35" t="s">
        <v>1236</v>
      </c>
      <c r="H214" s="35" t="s">
        <v>162</v>
      </c>
      <c r="I214" s="35"/>
      <c r="J214" s="56">
        <v>46135.7638888889</v>
      </c>
      <c r="K214" s="35" t="s">
        <v>1301</v>
      </c>
      <c r="L214" s="35" t="s">
        <v>719</v>
      </c>
      <c r="M214" s="35"/>
      <c r="N214" s="35" t="s">
        <v>1211</v>
      </c>
      <c r="O214" s="35">
        <v>189.99</v>
      </c>
      <c r="P214" s="38" t="s">
        <v>1598</v>
      </c>
      <c r="Q214" s="35"/>
      <c r="R214" s="35"/>
      <c r="S214" s="35"/>
      <c r="T214" s="35"/>
      <c r="U214" s="35"/>
      <c r="V214" s="35"/>
      <c r="W214" s="35"/>
    </row>
    <row r="215" ht="63" spans="1:23">
      <c r="A215" s="70">
        <v>214</v>
      </c>
      <c r="B215" s="36">
        <v>46133</v>
      </c>
      <c r="C215" s="35" t="s">
        <v>1176</v>
      </c>
      <c r="D215" s="35">
        <v>18531406222</v>
      </c>
      <c r="E215" s="35" t="s">
        <v>725</v>
      </c>
      <c r="F215" s="35" t="s">
        <v>396</v>
      </c>
      <c r="G215" s="35" t="s">
        <v>248</v>
      </c>
      <c r="H215" s="35" t="s">
        <v>162</v>
      </c>
      <c r="I215" s="35" t="s">
        <v>1599</v>
      </c>
      <c r="J215" s="56">
        <v>46137.5069444444</v>
      </c>
      <c r="K215" s="35" t="s">
        <v>1600</v>
      </c>
      <c r="L215" s="35" t="s">
        <v>684</v>
      </c>
      <c r="M215" s="35"/>
      <c r="N215" s="35" t="s">
        <v>1211</v>
      </c>
      <c r="O215" s="35">
        <v>196.99</v>
      </c>
      <c r="P215" s="38" t="s">
        <v>1601</v>
      </c>
      <c r="Q215" s="35"/>
      <c r="R215" s="35"/>
      <c r="S215" s="35"/>
      <c r="T215" s="35"/>
      <c r="U215" s="35"/>
      <c r="V215" s="35"/>
      <c r="W215" s="35"/>
    </row>
    <row r="216" ht="47.25" spans="1:23">
      <c r="A216" s="70">
        <v>215</v>
      </c>
      <c r="B216" s="36">
        <v>46133</v>
      </c>
      <c r="C216" s="35" t="s">
        <v>560</v>
      </c>
      <c r="D216" s="35">
        <v>15868916525</v>
      </c>
      <c r="E216" s="35" t="s">
        <v>725</v>
      </c>
      <c r="F216" s="35" t="s">
        <v>396</v>
      </c>
      <c r="G216" s="35" t="s">
        <v>248</v>
      </c>
      <c r="H216" s="35" t="s">
        <v>162</v>
      </c>
      <c r="I216" s="35" t="s">
        <v>1599</v>
      </c>
      <c r="J216" s="56">
        <v>46137.5069444444</v>
      </c>
      <c r="K216" s="35" t="s">
        <v>1600</v>
      </c>
      <c r="L216" s="35" t="s">
        <v>684</v>
      </c>
      <c r="M216" s="35"/>
      <c r="N216" s="35" t="s">
        <v>1211</v>
      </c>
      <c r="O216" s="35">
        <v>189.99</v>
      </c>
      <c r="P216" s="38" t="s">
        <v>1602</v>
      </c>
      <c r="Q216" s="35"/>
      <c r="R216" s="35"/>
      <c r="S216" s="35"/>
      <c r="T216" s="35"/>
      <c r="U216" s="35"/>
      <c r="V216" s="35"/>
      <c r="W216" s="35"/>
    </row>
    <row r="217" spans="1:23">
      <c r="A217" s="70">
        <v>216</v>
      </c>
      <c r="B217" s="36">
        <v>46133</v>
      </c>
      <c r="C217" s="35" t="s">
        <v>317</v>
      </c>
      <c r="D217" s="35"/>
      <c r="E217" s="35" t="s">
        <v>831</v>
      </c>
      <c r="F217" s="35" t="s">
        <v>189</v>
      </c>
      <c r="G217" s="35"/>
      <c r="H217" s="35" t="s">
        <v>200</v>
      </c>
      <c r="I217" s="35" t="s">
        <v>1603</v>
      </c>
      <c r="J217" s="56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</row>
    <row r="218" spans="1:23">
      <c r="A218" s="70">
        <v>217</v>
      </c>
      <c r="B218" s="36">
        <v>46133</v>
      </c>
      <c r="C218" s="35" t="s">
        <v>1604</v>
      </c>
      <c r="D218" s="35"/>
      <c r="E218" s="35" t="s">
        <v>1605</v>
      </c>
      <c r="F218" s="35" t="s">
        <v>169</v>
      </c>
      <c r="G218" s="35"/>
      <c r="H218" s="35" t="s">
        <v>200</v>
      </c>
      <c r="I218" s="35"/>
      <c r="J218" s="56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</row>
    <row r="219" spans="1:23">
      <c r="A219" s="70">
        <v>218</v>
      </c>
      <c r="B219" s="36">
        <v>46134</v>
      </c>
      <c r="C219" s="35" t="s">
        <v>403</v>
      </c>
      <c r="D219" s="35">
        <v>15958276482</v>
      </c>
      <c r="E219" s="35" t="s">
        <v>1606</v>
      </c>
      <c r="F219" s="35" t="s">
        <v>704</v>
      </c>
      <c r="G219" s="35"/>
      <c r="H219" s="35" t="s">
        <v>200</v>
      </c>
      <c r="I219" s="35" t="s">
        <v>1607</v>
      </c>
      <c r="J219" s="56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</row>
    <row r="220" spans="1:23">
      <c r="A220" s="70">
        <v>219</v>
      </c>
      <c r="B220" s="36">
        <v>46135</v>
      </c>
      <c r="C220" s="35" t="s">
        <v>246</v>
      </c>
      <c r="D220" s="35">
        <v>13567481361</v>
      </c>
      <c r="E220" s="35" t="s">
        <v>315</v>
      </c>
      <c r="F220" s="35" t="s">
        <v>189</v>
      </c>
      <c r="G220" s="35"/>
      <c r="H220" s="35" t="s">
        <v>200</v>
      </c>
      <c r="I220" s="35"/>
      <c r="J220" s="56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</row>
    <row r="221" spans="1:23">
      <c r="A221" s="70">
        <v>220</v>
      </c>
      <c r="B221" s="36">
        <v>46135</v>
      </c>
      <c r="C221" s="35" t="s">
        <v>1608</v>
      </c>
      <c r="D221" s="35">
        <v>18357477362</v>
      </c>
      <c r="E221" s="35" t="s">
        <v>191</v>
      </c>
      <c r="F221" s="35" t="s">
        <v>189</v>
      </c>
      <c r="G221" s="35"/>
      <c r="H221" s="35" t="s">
        <v>200</v>
      </c>
      <c r="I221" s="35" t="s">
        <v>1609</v>
      </c>
      <c r="J221" s="56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</row>
    <row r="222" ht="47.25" spans="1:23">
      <c r="A222" s="70">
        <v>221</v>
      </c>
      <c r="B222" s="36">
        <v>46136</v>
      </c>
      <c r="C222" s="35" t="s">
        <v>1610</v>
      </c>
      <c r="D222" s="35">
        <v>18959457716</v>
      </c>
      <c r="E222" s="35" t="s">
        <v>315</v>
      </c>
      <c r="F222" s="35" t="s">
        <v>189</v>
      </c>
      <c r="G222" s="35" t="s">
        <v>1229</v>
      </c>
      <c r="H222" s="35" t="s">
        <v>162</v>
      </c>
      <c r="I222" s="35"/>
      <c r="J222" s="56">
        <v>46138.75</v>
      </c>
      <c r="K222" s="35" t="s">
        <v>171</v>
      </c>
      <c r="L222" s="35" t="s">
        <v>1218</v>
      </c>
      <c r="M222" s="35"/>
      <c r="N222" s="35" t="s">
        <v>1211</v>
      </c>
      <c r="O222" s="35">
        <v>189.99</v>
      </c>
      <c r="P222" s="38" t="s">
        <v>1611</v>
      </c>
      <c r="Q222" s="35"/>
      <c r="R222" s="35"/>
      <c r="S222" s="35"/>
      <c r="T222" s="35"/>
      <c r="U222" s="35"/>
      <c r="V222" s="35"/>
      <c r="W222" s="35"/>
    </row>
    <row r="223" spans="1:23">
      <c r="A223" s="70">
        <v>222</v>
      </c>
      <c r="B223" s="36">
        <v>46138</v>
      </c>
      <c r="C223" s="35" t="s">
        <v>520</v>
      </c>
      <c r="D223" s="35">
        <v>13216634766</v>
      </c>
      <c r="E223" s="35" t="s">
        <v>725</v>
      </c>
      <c r="F223" s="35" t="s">
        <v>169</v>
      </c>
      <c r="G223" s="35" t="s">
        <v>684</v>
      </c>
      <c r="H223" s="35" t="s">
        <v>162</v>
      </c>
      <c r="I223" s="35"/>
      <c r="J223" s="56">
        <v>46144.75</v>
      </c>
      <c r="K223" s="35" t="s">
        <v>485</v>
      </c>
      <c r="L223" s="35" t="s">
        <v>684</v>
      </c>
      <c r="M223" s="35" t="s">
        <v>162</v>
      </c>
      <c r="N223" s="35" t="s">
        <v>1339</v>
      </c>
      <c r="O223" s="35">
        <v>73</v>
      </c>
      <c r="P223" s="121" t="s">
        <v>1612</v>
      </c>
      <c r="Q223" s="35" t="s">
        <v>443</v>
      </c>
      <c r="R223" s="35">
        <v>3560</v>
      </c>
      <c r="S223" s="35"/>
      <c r="T223" s="35"/>
      <c r="U223" s="35"/>
      <c r="V223" s="35"/>
      <c r="W223" s="35"/>
    </row>
    <row r="224" ht="47.25" spans="1:23">
      <c r="A224" s="70">
        <v>223</v>
      </c>
      <c r="B224" s="36">
        <v>46139</v>
      </c>
      <c r="C224" s="35" t="s">
        <v>246</v>
      </c>
      <c r="D224" s="35">
        <v>17376510574</v>
      </c>
      <c r="E224" s="35" t="s">
        <v>1613</v>
      </c>
      <c r="F224" s="35" t="s">
        <v>189</v>
      </c>
      <c r="G224" s="35" t="s">
        <v>1236</v>
      </c>
      <c r="H224" s="35" t="s">
        <v>162</v>
      </c>
      <c r="I224" s="35"/>
      <c r="J224" s="56">
        <v>46139.4930555556</v>
      </c>
      <c r="K224" s="35" t="s">
        <v>1216</v>
      </c>
      <c r="L224" s="35" t="s">
        <v>248</v>
      </c>
      <c r="M224" s="35"/>
      <c r="N224" s="35" t="s">
        <v>1211</v>
      </c>
      <c r="O224" s="35">
        <v>189.99</v>
      </c>
      <c r="P224" s="38" t="s">
        <v>1614</v>
      </c>
      <c r="Q224" s="35"/>
      <c r="R224" s="35"/>
      <c r="S224" s="35"/>
      <c r="T224" s="35"/>
      <c r="U224" s="35"/>
      <c r="V224" s="35"/>
      <c r="W224" s="35"/>
    </row>
    <row r="225" spans="1:23">
      <c r="A225" s="70">
        <v>224</v>
      </c>
      <c r="B225" s="36">
        <v>46141</v>
      </c>
      <c r="C225" s="35" t="s">
        <v>291</v>
      </c>
      <c r="D225" s="51">
        <v>15757129217</v>
      </c>
      <c r="E225" s="35" t="s">
        <v>1615</v>
      </c>
      <c r="F225" s="35" t="s">
        <v>189</v>
      </c>
      <c r="G225" s="35" t="s">
        <v>248</v>
      </c>
      <c r="H225" s="35" t="s">
        <v>162</v>
      </c>
      <c r="I225" s="35"/>
      <c r="J225" s="56">
        <v>46141.8159722222</v>
      </c>
      <c r="K225" s="35" t="s">
        <v>1127</v>
      </c>
      <c r="L225" s="35" t="s">
        <v>248</v>
      </c>
      <c r="M225" s="35"/>
      <c r="N225" s="51" t="s">
        <v>1616</v>
      </c>
      <c r="O225" s="51">
        <v>376</v>
      </c>
      <c r="P225" s="123" t="s">
        <v>1617</v>
      </c>
      <c r="Q225" s="35"/>
      <c r="R225" s="35"/>
      <c r="S225" s="35"/>
      <c r="T225" s="35"/>
      <c r="U225" s="35"/>
      <c r="V225" s="35"/>
      <c r="W225" s="35"/>
    </row>
    <row r="226" spans="1:23">
      <c r="A226" s="70">
        <v>225</v>
      </c>
      <c r="B226" s="36">
        <v>46141</v>
      </c>
      <c r="C226" s="35" t="s">
        <v>293</v>
      </c>
      <c r="D226" s="52"/>
      <c r="E226" s="35" t="s">
        <v>1615</v>
      </c>
      <c r="F226" s="35" t="s">
        <v>189</v>
      </c>
      <c r="G226" s="35" t="s">
        <v>248</v>
      </c>
      <c r="H226" s="35" t="s">
        <v>162</v>
      </c>
      <c r="I226" s="35"/>
      <c r="J226" s="56">
        <v>46141.8159722222</v>
      </c>
      <c r="K226" s="35" t="s">
        <v>1127</v>
      </c>
      <c r="L226" s="35" t="s">
        <v>248</v>
      </c>
      <c r="M226" s="35"/>
      <c r="N226" s="52"/>
      <c r="O226" s="52"/>
      <c r="P226" s="52"/>
      <c r="Q226" s="35"/>
      <c r="R226" s="35"/>
      <c r="S226" s="35"/>
      <c r="T226" s="35"/>
      <c r="U226" s="35"/>
      <c r="V226" s="35"/>
      <c r="W226" s="35"/>
    </row>
    <row r="227" s="20" customFormat="1" spans="1:23">
      <c r="A227" s="70">
        <v>226</v>
      </c>
      <c r="B227" s="57"/>
      <c r="C227" s="53"/>
      <c r="D227" s="72"/>
      <c r="E227" s="53"/>
      <c r="F227" s="53"/>
      <c r="G227" s="53"/>
      <c r="H227" s="53"/>
      <c r="I227" s="53"/>
      <c r="J227" s="73"/>
      <c r="K227" s="53"/>
      <c r="L227" s="53"/>
      <c r="M227" s="53"/>
      <c r="N227" s="72"/>
      <c r="O227" s="72"/>
      <c r="P227" s="72"/>
      <c r="Q227" s="53"/>
      <c r="R227" s="53"/>
      <c r="S227" s="53"/>
      <c r="T227" s="53"/>
      <c r="U227" s="53"/>
      <c r="V227" s="53"/>
      <c r="W227" s="53"/>
    </row>
    <row r="228" spans="1:23">
      <c r="A228" s="70">
        <v>227</v>
      </c>
      <c r="B228" s="36">
        <v>46143</v>
      </c>
      <c r="C228" s="35" t="s">
        <v>1618</v>
      </c>
      <c r="D228" s="35">
        <v>15058816355</v>
      </c>
      <c r="E228" s="35" t="s">
        <v>296</v>
      </c>
      <c r="F228" s="35" t="s">
        <v>189</v>
      </c>
      <c r="G228" s="35"/>
      <c r="H228" s="35" t="s">
        <v>200</v>
      </c>
      <c r="I228" s="35" t="s">
        <v>1619</v>
      </c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</row>
    <row r="229" spans="1:23">
      <c r="A229" s="70">
        <v>228</v>
      </c>
      <c r="B229" s="36">
        <v>46144</v>
      </c>
      <c r="C229" s="35">
        <v>1</v>
      </c>
      <c r="D229" s="35">
        <v>18358570377</v>
      </c>
      <c r="E229" s="35" t="s">
        <v>657</v>
      </c>
      <c r="F229" s="35" t="s">
        <v>189</v>
      </c>
      <c r="G229" s="35"/>
      <c r="H229" s="35" t="s">
        <v>200</v>
      </c>
      <c r="I229" s="35" t="s">
        <v>1620</v>
      </c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</row>
    <row r="230" ht="47.25" spans="1:23">
      <c r="A230" s="70">
        <v>229</v>
      </c>
      <c r="B230" s="36">
        <v>46148</v>
      </c>
      <c r="C230" s="35" t="s">
        <v>885</v>
      </c>
      <c r="D230" s="35">
        <v>13705802122</v>
      </c>
      <c r="E230" s="35" t="s">
        <v>725</v>
      </c>
      <c r="F230" s="35" t="s">
        <v>189</v>
      </c>
      <c r="G230" s="35" t="s">
        <v>843</v>
      </c>
      <c r="H230" s="35" t="s">
        <v>162</v>
      </c>
      <c r="I230" s="35"/>
      <c r="J230" s="56">
        <v>46150.5138888889</v>
      </c>
      <c r="K230" s="35" t="s">
        <v>171</v>
      </c>
      <c r="L230" s="35" t="s">
        <v>843</v>
      </c>
      <c r="M230" s="35"/>
      <c r="N230" s="35" t="s">
        <v>1211</v>
      </c>
      <c r="O230" s="35">
        <v>189.99</v>
      </c>
      <c r="P230" s="38" t="s">
        <v>1621</v>
      </c>
      <c r="Q230" s="35"/>
      <c r="R230" s="35"/>
      <c r="S230" s="35"/>
      <c r="T230" s="35"/>
      <c r="U230" s="35"/>
      <c r="V230" s="35"/>
      <c r="W230" s="35"/>
    </row>
    <row r="231" spans="1:23">
      <c r="A231" s="70">
        <v>230</v>
      </c>
      <c r="B231" s="36">
        <v>46148</v>
      </c>
      <c r="C231" s="35" t="s">
        <v>388</v>
      </c>
      <c r="D231" s="35">
        <v>19857183143</v>
      </c>
      <c r="E231" s="35" t="s">
        <v>725</v>
      </c>
      <c r="F231" s="35" t="s">
        <v>189</v>
      </c>
      <c r="G231" s="35" t="s">
        <v>684</v>
      </c>
      <c r="H231" s="35" t="s">
        <v>162</v>
      </c>
      <c r="I231" s="35"/>
      <c r="J231" s="56">
        <v>46150.5138888889</v>
      </c>
      <c r="K231" s="35" t="s">
        <v>171</v>
      </c>
      <c r="L231" s="35" t="s">
        <v>843</v>
      </c>
      <c r="M231" s="35"/>
      <c r="N231" s="35" t="s">
        <v>1339</v>
      </c>
      <c r="O231" s="35">
        <v>73</v>
      </c>
      <c r="P231" s="121" t="s">
        <v>1622</v>
      </c>
      <c r="Q231" s="35"/>
      <c r="R231" s="35"/>
      <c r="S231" s="35"/>
      <c r="T231" s="35"/>
      <c r="U231" s="35"/>
      <c r="V231" s="35"/>
      <c r="W231" s="35"/>
    </row>
    <row r="232" spans="1:23">
      <c r="A232" s="70">
        <v>231</v>
      </c>
      <c r="B232" s="36">
        <v>46148</v>
      </c>
      <c r="C232" s="35" t="s">
        <v>1400</v>
      </c>
      <c r="D232" s="35">
        <v>18258867669</v>
      </c>
      <c r="E232" s="35" t="s">
        <v>315</v>
      </c>
      <c r="F232" s="35" t="s">
        <v>189</v>
      </c>
      <c r="G232" s="35"/>
      <c r="H232" s="35" t="s">
        <v>200</v>
      </c>
      <c r="I232" s="35" t="s">
        <v>1623</v>
      </c>
      <c r="J232" s="56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</row>
    <row r="233" spans="1:23">
      <c r="A233" s="70">
        <v>232</v>
      </c>
      <c r="B233" s="36">
        <v>46149</v>
      </c>
      <c r="C233" s="35" t="s">
        <v>1624</v>
      </c>
      <c r="D233" s="35">
        <v>18334267479</v>
      </c>
      <c r="E233" s="35" t="s">
        <v>725</v>
      </c>
      <c r="F233" s="35" t="s">
        <v>189</v>
      </c>
      <c r="G233" s="35"/>
      <c r="H233" s="35" t="s">
        <v>200</v>
      </c>
      <c r="I233" s="35"/>
      <c r="J233" s="56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</row>
    <row r="234" ht="63" spans="1:23">
      <c r="A234" s="70">
        <v>233</v>
      </c>
      <c r="B234" s="36">
        <v>46149</v>
      </c>
      <c r="C234" s="35" t="s">
        <v>316</v>
      </c>
      <c r="D234" s="35">
        <v>18223901315</v>
      </c>
      <c r="E234" s="35" t="s">
        <v>188</v>
      </c>
      <c r="F234" s="35" t="s">
        <v>189</v>
      </c>
      <c r="G234" s="35" t="s">
        <v>1209</v>
      </c>
      <c r="H234" s="35" t="s">
        <v>162</v>
      </c>
      <c r="I234" s="35"/>
      <c r="J234" s="56">
        <v>46150.5138888889</v>
      </c>
      <c r="K234" s="35" t="s">
        <v>171</v>
      </c>
      <c r="L234" s="35" t="s">
        <v>843</v>
      </c>
      <c r="M234" s="35"/>
      <c r="N234" s="35" t="s">
        <v>1625</v>
      </c>
      <c r="O234" s="35" t="s">
        <v>1626</v>
      </c>
      <c r="P234" s="38" t="s">
        <v>1627</v>
      </c>
      <c r="Q234" s="35"/>
      <c r="R234" s="35"/>
      <c r="S234" s="35"/>
      <c r="T234" s="35"/>
      <c r="U234" s="35"/>
      <c r="V234" s="35"/>
      <c r="W234" s="35"/>
    </row>
    <row r="235" spans="1:23">
      <c r="A235" s="70">
        <v>234</v>
      </c>
      <c r="B235" s="36">
        <v>46149</v>
      </c>
      <c r="C235" s="35" t="s">
        <v>1628</v>
      </c>
      <c r="D235" s="35">
        <v>15858477477</v>
      </c>
      <c r="E235" s="35" t="s">
        <v>188</v>
      </c>
      <c r="F235" s="35" t="s">
        <v>189</v>
      </c>
      <c r="G235" s="35" t="s">
        <v>164</v>
      </c>
      <c r="H235" s="35" t="s">
        <v>162</v>
      </c>
      <c r="I235" s="35" t="s">
        <v>1629</v>
      </c>
      <c r="J235" s="35"/>
      <c r="K235" s="35"/>
      <c r="L235" s="35"/>
      <c r="M235" s="35" t="s">
        <v>162</v>
      </c>
      <c r="N235" s="35"/>
      <c r="O235" s="35"/>
      <c r="P235" s="35"/>
      <c r="Q235" s="35" t="s">
        <v>1630</v>
      </c>
      <c r="R235" s="35">
        <v>20400</v>
      </c>
      <c r="S235" s="35"/>
      <c r="T235" s="35"/>
      <c r="U235" s="35"/>
      <c r="V235" s="35"/>
      <c r="W235" s="35"/>
    </row>
    <row r="236" spans="1:23">
      <c r="A236" s="70">
        <v>235</v>
      </c>
      <c r="B236" s="36">
        <v>46149</v>
      </c>
      <c r="C236" s="35" t="s">
        <v>1631</v>
      </c>
      <c r="D236" s="35">
        <v>18606614520</v>
      </c>
      <c r="E236" s="35" t="s">
        <v>1446</v>
      </c>
      <c r="F236" s="35" t="s">
        <v>169</v>
      </c>
      <c r="G236" s="35"/>
      <c r="H236" s="35" t="s">
        <v>200</v>
      </c>
      <c r="I236" s="35" t="s">
        <v>1435</v>
      </c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</row>
    <row r="237" ht="47.25" spans="1:23">
      <c r="A237" s="70">
        <v>236</v>
      </c>
      <c r="B237" s="36">
        <v>46150</v>
      </c>
      <c r="C237" s="35" t="s">
        <v>1632</v>
      </c>
      <c r="D237" s="35">
        <v>13418549008</v>
      </c>
      <c r="E237" s="35" t="s">
        <v>1050</v>
      </c>
      <c r="F237" s="35" t="s">
        <v>189</v>
      </c>
      <c r="G237" s="35" t="s">
        <v>1209</v>
      </c>
      <c r="H237" s="35" t="s">
        <v>162</v>
      </c>
      <c r="I237" s="35"/>
      <c r="J237" s="56">
        <v>46155.7708333333</v>
      </c>
      <c r="K237" s="35" t="s">
        <v>1370</v>
      </c>
      <c r="L237" s="35" t="s">
        <v>300</v>
      </c>
      <c r="M237" s="35"/>
      <c r="N237" s="35" t="s">
        <v>1633</v>
      </c>
      <c r="O237" s="35">
        <v>189.99</v>
      </c>
      <c r="P237" s="38" t="s">
        <v>1634</v>
      </c>
      <c r="Q237" s="35"/>
      <c r="R237" s="35"/>
      <c r="S237" s="35"/>
      <c r="T237" s="35"/>
      <c r="U237" s="35"/>
      <c r="V237" s="35"/>
      <c r="W237" s="35"/>
    </row>
    <row r="238" spans="1:23">
      <c r="A238" s="70">
        <v>237</v>
      </c>
      <c r="B238" s="36">
        <v>46150</v>
      </c>
      <c r="C238" s="35" t="s">
        <v>302</v>
      </c>
      <c r="D238" s="35">
        <v>15256563390</v>
      </c>
      <c r="E238" s="35" t="s">
        <v>831</v>
      </c>
      <c r="F238" s="35" t="s">
        <v>189</v>
      </c>
      <c r="G238" s="35"/>
      <c r="H238" s="35" t="s">
        <v>200</v>
      </c>
      <c r="I238" s="35"/>
      <c r="J238" s="56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</row>
    <row r="239" spans="1:23">
      <c r="A239" s="70">
        <v>238</v>
      </c>
      <c r="B239" s="36">
        <v>46152</v>
      </c>
      <c r="C239" s="35" t="s">
        <v>1635</v>
      </c>
      <c r="D239" s="35">
        <v>13486665887</v>
      </c>
      <c r="E239" s="35" t="s">
        <v>1636</v>
      </c>
      <c r="F239" s="35" t="s">
        <v>189</v>
      </c>
      <c r="G239" s="35" t="s">
        <v>1229</v>
      </c>
      <c r="H239" s="35" t="s">
        <v>162</v>
      </c>
      <c r="I239" s="35"/>
      <c r="J239" s="56">
        <v>46153.75</v>
      </c>
      <c r="K239" s="35" t="s">
        <v>1637</v>
      </c>
      <c r="L239" s="35" t="s">
        <v>248</v>
      </c>
      <c r="M239" s="35"/>
      <c r="N239" s="35" t="s">
        <v>285</v>
      </c>
      <c r="O239" s="35">
        <v>93</v>
      </c>
      <c r="P239" s="121" t="s">
        <v>1638</v>
      </c>
      <c r="Q239" s="35"/>
      <c r="R239" s="35"/>
      <c r="S239" s="35"/>
      <c r="T239" s="35"/>
      <c r="U239" s="35"/>
      <c r="V239" s="35"/>
      <c r="W239" s="35"/>
    </row>
    <row r="240" spans="1:23">
      <c r="A240" s="70">
        <v>239</v>
      </c>
      <c r="B240" s="36">
        <v>46152</v>
      </c>
      <c r="C240" s="35" t="s">
        <v>1639</v>
      </c>
      <c r="D240" s="35">
        <v>13566036602</v>
      </c>
      <c r="E240" s="35" t="s">
        <v>315</v>
      </c>
      <c r="F240" s="35" t="s">
        <v>169</v>
      </c>
      <c r="G240" s="35"/>
      <c r="H240" s="35" t="s">
        <v>200</v>
      </c>
      <c r="I240" s="35" t="s">
        <v>1640</v>
      </c>
      <c r="J240" s="56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</row>
    <row r="241" ht="47.25" spans="1:23">
      <c r="A241" s="70">
        <v>240</v>
      </c>
      <c r="B241" s="36">
        <v>46153</v>
      </c>
      <c r="C241" s="35" t="s">
        <v>1641</v>
      </c>
      <c r="D241" s="35">
        <v>13777035999</v>
      </c>
      <c r="E241" s="35" t="s">
        <v>315</v>
      </c>
      <c r="F241" s="35" t="s">
        <v>189</v>
      </c>
      <c r="G241" s="35" t="s">
        <v>248</v>
      </c>
      <c r="H241" s="35" t="s">
        <v>162</v>
      </c>
      <c r="I241" s="35"/>
      <c r="J241" s="56">
        <v>46154.4930555556</v>
      </c>
      <c r="K241" s="35" t="s">
        <v>196</v>
      </c>
      <c r="L241" s="35" t="s">
        <v>172</v>
      </c>
      <c r="M241" s="35"/>
      <c r="N241" s="35" t="s">
        <v>1633</v>
      </c>
      <c r="O241" s="35">
        <v>189.99</v>
      </c>
      <c r="P241" s="38" t="s">
        <v>1642</v>
      </c>
      <c r="Q241" s="35"/>
      <c r="R241" s="35"/>
      <c r="S241" s="35"/>
      <c r="T241" s="35"/>
      <c r="U241" s="35"/>
      <c r="V241" s="35"/>
      <c r="W241" s="35"/>
    </row>
    <row r="242" spans="1:23">
      <c r="A242" s="70">
        <v>241</v>
      </c>
      <c r="B242" s="36">
        <v>46153</v>
      </c>
      <c r="C242" s="35" t="s">
        <v>1444</v>
      </c>
      <c r="D242" s="35">
        <v>13524615376</v>
      </c>
      <c r="E242" s="35" t="s">
        <v>1643</v>
      </c>
      <c r="F242" s="35" t="s">
        <v>189</v>
      </c>
      <c r="G242" s="35" t="s">
        <v>843</v>
      </c>
      <c r="H242" s="35" t="s">
        <v>162</v>
      </c>
      <c r="I242" s="35"/>
      <c r="J242" s="56">
        <v>46158.5833333333</v>
      </c>
      <c r="K242" s="35" t="s">
        <v>296</v>
      </c>
      <c r="L242" s="35" t="s">
        <v>843</v>
      </c>
      <c r="M242" s="35"/>
      <c r="N242" s="35" t="s">
        <v>468</v>
      </c>
      <c r="O242" s="35">
        <v>386</v>
      </c>
      <c r="P242" s="121" t="s">
        <v>1644</v>
      </c>
      <c r="Q242" s="35"/>
      <c r="R242" s="35"/>
      <c r="S242" s="35"/>
      <c r="T242" s="35"/>
      <c r="U242" s="35"/>
      <c r="V242" s="35"/>
      <c r="W242" s="35"/>
    </row>
    <row r="243" spans="1:23">
      <c r="A243" s="70">
        <v>242</v>
      </c>
      <c r="B243" s="36">
        <v>46154</v>
      </c>
      <c r="C243" s="35" t="s">
        <v>1645</v>
      </c>
      <c r="D243" s="35">
        <v>17365801402</v>
      </c>
      <c r="E243" s="35" t="s">
        <v>1646</v>
      </c>
      <c r="F243" s="35" t="s">
        <v>189</v>
      </c>
      <c r="G243" s="35" t="s">
        <v>684</v>
      </c>
      <c r="H243" s="35" t="s">
        <v>162</v>
      </c>
      <c r="I243" s="35"/>
      <c r="J243" s="56">
        <v>46154.7083333333</v>
      </c>
      <c r="K243" s="35" t="s">
        <v>296</v>
      </c>
      <c r="L243" s="35" t="s">
        <v>248</v>
      </c>
      <c r="M243" s="35" t="s">
        <v>162</v>
      </c>
      <c r="N243" s="35" t="s">
        <v>468</v>
      </c>
      <c r="O243" s="35">
        <v>387</v>
      </c>
      <c r="P243" s="121" t="s">
        <v>1647</v>
      </c>
      <c r="Q243" s="35" t="s">
        <v>1648</v>
      </c>
      <c r="R243" s="35">
        <v>5999</v>
      </c>
      <c r="S243" s="35"/>
      <c r="T243" s="35"/>
      <c r="U243" s="35"/>
      <c r="V243" s="35"/>
      <c r="W243" s="35"/>
    </row>
    <row r="244" spans="1:23">
      <c r="A244" s="70">
        <v>243</v>
      </c>
      <c r="B244" s="36">
        <v>46155</v>
      </c>
      <c r="C244" s="35" t="s">
        <v>1649</v>
      </c>
      <c r="D244" s="35">
        <v>15110138786</v>
      </c>
      <c r="E244" s="35" t="s">
        <v>315</v>
      </c>
      <c r="F244" s="35" t="s">
        <v>189</v>
      </c>
      <c r="G244" s="35" t="s">
        <v>684</v>
      </c>
      <c r="H244" s="35" t="s">
        <v>162</v>
      </c>
      <c r="I244" s="35" t="s">
        <v>1650</v>
      </c>
      <c r="J244" s="56">
        <v>46156.5</v>
      </c>
      <c r="K244" s="35" t="s">
        <v>196</v>
      </c>
      <c r="L244" s="35" t="s">
        <v>172</v>
      </c>
      <c r="M244" s="35"/>
      <c r="N244" s="35" t="s">
        <v>662</v>
      </c>
      <c r="O244" s="35">
        <v>113</v>
      </c>
      <c r="P244" s="121" t="s">
        <v>1651</v>
      </c>
      <c r="Q244" s="35"/>
      <c r="R244" s="35"/>
      <c r="S244" s="35"/>
      <c r="T244" s="35"/>
      <c r="U244" s="35"/>
      <c r="V244" s="35"/>
      <c r="W244" s="35"/>
    </row>
    <row r="245" spans="1:23">
      <c r="A245" s="70">
        <v>244</v>
      </c>
      <c r="B245" s="36">
        <v>46155</v>
      </c>
      <c r="C245" s="35" t="s">
        <v>1652</v>
      </c>
      <c r="D245" s="35"/>
      <c r="E245" s="35" t="s">
        <v>1653</v>
      </c>
      <c r="F245" s="35" t="s">
        <v>189</v>
      </c>
      <c r="G245" s="35"/>
      <c r="H245" s="35" t="s">
        <v>200</v>
      </c>
      <c r="I245" s="35" t="s">
        <v>1654</v>
      </c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</row>
    <row r="246" spans="1:23">
      <c r="A246" s="70">
        <v>245</v>
      </c>
      <c r="B246" s="36">
        <v>46156</v>
      </c>
      <c r="C246" s="35" t="s">
        <v>445</v>
      </c>
      <c r="D246" s="35"/>
      <c r="E246" s="35" t="s">
        <v>159</v>
      </c>
      <c r="F246" s="35" t="s">
        <v>189</v>
      </c>
      <c r="G246" s="35"/>
      <c r="H246" s="35" t="s">
        <v>200</v>
      </c>
      <c r="I246" s="35" t="s">
        <v>1655</v>
      </c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</row>
    <row r="247" spans="1:23">
      <c r="A247" s="70">
        <v>246</v>
      </c>
      <c r="B247" s="36">
        <v>46156</v>
      </c>
      <c r="C247" s="35" t="s">
        <v>1656</v>
      </c>
      <c r="D247" s="35">
        <v>13276789526</v>
      </c>
      <c r="E247" s="35" t="s">
        <v>725</v>
      </c>
      <c r="F247" s="35" t="s">
        <v>189</v>
      </c>
      <c r="G247" s="35"/>
      <c r="H247" s="35" t="s">
        <v>200</v>
      </c>
      <c r="I247" s="35" t="s">
        <v>1657</v>
      </c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</row>
    <row r="248" spans="1:23">
      <c r="A248" s="70">
        <v>247</v>
      </c>
      <c r="B248" s="36">
        <v>46157</v>
      </c>
      <c r="C248" s="35" t="s">
        <v>1398</v>
      </c>
      <c r="D248" s="35">
        <v>18952352981</v>
      </c>
      <c r="E248" s="35" t="s">
        <v>159</v>
      </c>
      <c r="F248" s="35" t="s">
        <v>189</v>
      </c>
      <c r="G248" s="35" t="s">
        <v>161</v>
      </c>
      <c r="H248" s="35" t="s">
        <v>162</v>
      </c>
      <c r="I248" s="35"/>
      <c r="J248" s="56">
        <v>46158.75</v>
      </c>
      <c r="K248" s="35" t="s">
        <v>296</v>
      </c>
      <c r="L248" s="35" t="s">
        <v>1218</v>
      </c>
      <c r="M248" s="35"/>
      <c r="N248" s="35" t="s">
        <v>468</v>
      </c>
      <c r="O248" s="35">
        <v>387</v>
      </c>
      <c r="P248" s="121" t="s">
        <v>1658</v>
      </c>
      <c r="Q248" s="35"/>
      <c r="R248" s="35"/>
      <c r="S248" s="35"/>
      <c r="T248" s="35"/>
      <c r="U248" s="35"/>
      <c r="V248" s="35"/>
      <c r="W248" s="35"/>
    </row>
    <row r="249" spans="1:23">
      <c r="A249" s="70">
        <v>248</v>
      </c>
      <c r="B249" s="36">
        <v>46158</v>
      </c>
      <c r="C249" s="35" t="s">
        <v>1659</v>
      </c>
      <c r="D249" s="35">
        <v>13858346687</v>
      </c>
      <c r="E249" s="35" t="s">
        <v>315</v>
      </c>
      <c r="F249" s="35" t="s">
        <v>189</v>
      </c>
      <c r="G249" s="35" t="s">
        <v>1209</v>
      </c>
      <c r="H249" s="35" t="s">
        <v>162</v>
      </c>
      <c r="I249" s="35"/>
      <c r="J249" s="56">
        <v>46159.7708333333</v>
      </c>
      <c r="K249" s="35" t="s">
        <v>196</v>
      </c>
      <c r="L249" s="35" t="s">
        <v>1209</v>
      </c>
      <c r="M249" s="35"/>
      <c r="N249" s="35" t="s">
        <v>662</v>
      </c>
      <c r="O249" s="35">
        <v>113</v>
      </c>
      <c r="P249" s="121" t="s">
        <v>1660</v>
      </c>
      <c r="Q249" s="35"/>
      <c r="R249" s="35"/>
      <c r="S249" s="35"/>
      <c r="T249" s="35"/>
      <c r="U249" s="35"/>
      <c r="V249" s="35"/>
      <c r="W249" s="35"/>
    </row>
    <row r="250" spans="1:23">
      <c r="A250" s="70">
        <v>249</v>
      </c>
      <c r="B250" s="36">
        <v>46158</v>
      </c>
      <c r="C250" s="35" t="s">
        <v>1661</v>
      </c>
      <c r="D250" s="35">
        <v>18069151652</v>
      </c>
      <c r="E250" s="35" t="s">
        <v>1662</v>
      </c>
      <c r="F250" s="35" t="s">
        <v>189</v>
      </c>
      <c r="G250" s="35" t="s">
        <v>684</v>
      </c>
      <c r="H250" s="35" t="s">
        <v>162</v>
      </c>
      <c r="I250" s="35"/>
      <c r="J250" s="56">
        <v>46159.7708333333</v>
      </c>
      <c r="K250" s="35" t="s">
        <v>196</v>
      </c>
      <c r="L250" s="35" t="s">
        <v>1209</v>
      </c>
      <c r="M250" s="35" t="s">
        <v>162</v>
      </c>
      <c r="N250" s="35" t="s">
        <v>1663</v>
      </c>
      <c r="O250" s="35">
        <v>79</v>
      </c>
      <c r="P250" s="121" t="s">
        <v>1664</v>
      </c>
      <c r="Q250" s="35" t="s">
        <v>1665</v>
      </c>
      <c r="R250" s="35">
        <v>1986</v>
      </c>
      <c r="S250" s="35"/>
      <c r="T250" s="35"/>
      <c r="U250" s="35"/>
      <c r="V250" s="35"/>
      <c r="W250" s="35"/>
    </row>
    <row r="251" ht="47.25" spans="1:23">
      <c r="A251" s="70">
        <v>250</v>
      </c>
      <c r="B251" s="36">
        <v>46160</v>
      </c>
      <c r="C251" s="35" t="s">
        <v>1666</v>
      </c>
      <c r="D251" s="35">
        <v>15869369788</v>
      </c>
      <c r="E251" s="35" t="s">
        <v>159</v>
      </c>
      <c r="F251" s="35" t="s">
        <v>189</v>
      </c>
      <c r="G251" s="35" t="s">
        <v>1229</v>
      </c>
      <c r="H251" s="35" t="s">
        <v>162</v>
      </c>
      <c r="I251" s="35"/>
      <c r="J251" s="56">
        <v>46160.5833333333</v>
      </c>
      <c r="K251" s="35" t="s">
        <v>1667</v>
      </c>
      <c r="L251" s="35" t="s">
        <v>1229</v>
      </c>
      <c r="M251" s="35" t="s">
        <v>162</v>
      </c>
      <c r="N251" s="35" t="s">
        <v>1633</v>
      </c>
      <c r="O251" s="35">
        <v>189.99</v>
      </c>
      <c r="P251" s="38" t="s">
        <v>1668</v>
      </c>
      <c r="Q251" s="35" t="s">
        <v>1557</v>
      </c>
      <c r="R251" s="35">
        <v>3999</v>
      </c>
      <c r="S251" s="35"/>
      <c r="T251" s="35"/>
      <c r="U251" s="35"/>
      <c r="V251" s="35"/>
      <c r="W251" s="35"/>
    </row>
    <row r="252" spans="1:23">
      <c r="A252" s="70">
        <v>251</v>
      </c>
      <c r="B252" s="36">
        <v>46160</v>
      </c>
      <c r="C252" s="35" t="s">
        <v>317</v>
      </c>
      <c r="D252" s="35">
        <v>13685856290</v>
      </c>
      <c r="E252" s="35" t="s">
        <v>1669</v>
      </c>
      <c r="F252" s="35" t="s">
        <v>189</v>
      </c>
      <c r="G252" s="35"/>
      <c r="H252" s="35" t="s">
        <v>200</v>
      </c>
      <c r="I252" s="35" t="s">
        <v>1670</v>
      </c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</row>
    <row r="253" spans="1:23">
      <c r="A253" s="70">
        <v>252</v>
      </c>
      <c r="B253" s="36">
        <v>46161</v>
      </c>
      <c r="C253" s="35" t="s">
        <v>388</v>
      </c>
      <c r="D253" s="35">
        <v>13967821877</v>
      </c>
      <c r="E253" s="35" t="s">
        <v>1671</v>
      </c>
      <c r="F253" s="35" t="s">
        <v>189</v>
      </c>
      <c r="G253" s="35" t="s">
        <v>843</v>
      </c>
      <c r="H253" s="35" t="s">
        <v>162</v>
      </c>
      <c r="I253" s="35"/>
      <c r="J253" s="56">
        <v>46163.4166666667</v>
      </c>
      <c r="K253" s="35" t="s">
        <v>296</v>
      </c>
      <c r="L253" s="35" t="s">
        <v>843</v>
      </c>
      <c r="M253" s="35"/>
      <c r="N253" s="35" t="s">
        <v>531</v>
      </c>
      <c r="O253" s="35">
        <v>247</v>
      </c>
      <c r="P253" s="121" t="s">
        <v>1672</v>
      </c>
      <c r="Q253" s="35"/>
      <c r="R253" s="35"/>
      <c r="S253" s="35"/>
      <c r="T253" s="35"/>
      <c r="U253" s="35"/>
      <c r="V253" s="35"/>
      <c r="W253" s="35"/>
    </row>
    <row r="254" spans="1:23">
      <c r="A254" s="70">
        <v>253</v>
      </c>
      <c r="B254" s="36">
        <v>46162</v>
      </c>
      <c r="C254" s="35" t="s">
        <v>1673</v>
      </c>
      <c r="D254" s="35">
        <v>15669298777</v>
      </c>
      <c r="E254" s="35" t="s">
        <v>1674</v>
      </c>
      <c r="F254" s="35" t="s">
        <v>189</v>
      </c>
      <c r="G254" s="35" t="s">
        <v>248</v>
      </c>
      <c r="H254" s="35" t="s">
        <v>162</v>
      </c>
      <c r="I254" s="35"/>
      <c r="J254" s="56">
        <v>46162.5833333333</v>
      </c>
      <c r="K254" s="35" t="s">
        <v>171</v>
      </c>
      <c r="L254" s="35" t="s">
        <v>1209</v>
      </c>
      <c r="M254" s="35"/>
      <c r="N254" s="35" t="s">
        <v>1675</v>
      </c>
      <c r="O254" s="35">
        <v>74</v>
      </c>
      <c r="P254" s="121" t="s">
        <v>1676</v>
      </c>
      <c r="Q254" s="35"/>
      <c r="R254" s="35"/>
      <c r="S254" s="35"/>
      <c r="T254" s="35"/>
      <c r="U254" s="35"/>
      <c r="V254" s="35"/>
      <c r="W254" s="35"/>
    </row>
    <row r="255" spans="1:23">
      <c r="A255" s="70">
        <v>254</v>
      </c>
      <c r="B255" s="36">
        <v>46162</v>
      </c>
      <c r="C255" s="35" t="s">
        <v>1677</v>
      </c>
      <c r="D255" s="35"/>
      <c r="E255" s="35" t="s">
        <v>1678</v>
      </c>
      <c r="F255" s="35" t="s">
        <v>189</v>
      </c>
      <c r="G255" s="35"/>
      <c r="H255" s="35" t="s">
        <v>200</v>
      </c>
      <c r="I255" s="35"/>
      <c r="J255" s="56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</row>
    <row r="256" spans="1:23">
      <c r="A256" s="70">
        <v>255</v>
      </c>
      <c r="B256" s="36">
        <v>46163</v>
      </c>
      <c r="C256" s="35" t="s">
        <v>1679</v>
      </c>
      <c r="D256" s="35">
        <v>18892624978</v>
      </c>
      <c r="E256" s="35" t="s">
        <v>831</v>
      </c>
      <c r="F256" s="35" t="s">
        <v>189</v>
      </c>
      <c r="G256" s="35" t="s">
        <v>684</v>
      </c>
      <c r="H256" s="35" t="s">
        <v>162</v>
      </c>
      <c r="I256" s="35"/>
      <c r="J256" s="56">
        <v>46168.5416666667</v>
      </c>
      <c r="K256" s="35" t="s">
        <v>296</v>
      </c>
      <c r="L256" s="35" t="s">
        <v>843</v>
      </c>
      <c r="M256" s="35" t="s">
        <v>162</v>
      </c>
      <c r="N256" s="35"/>
      <c r="O256" s="35"/>
      <c r="P256" s="35"/>
      <c r="Q256" s="35" t="s">
        <v>935</v>
      </c>
      <c r="R256" s="35">
        <v>520</v>
      </c>
      <c r="S256" s="35" t="s">
        <v>1680</v>
      </c>
      <c r="T256" s="35"/>
      <c r="U256" s="35"/>
      <c r="V256" s="35"/>
      <c r="W256" s="35"/>
    </row>
    <row r="257" spans="1:23">
      <c r="A257" s="70">
        <v>256</v>
      </c>
      <c r="B257" s="36">
        <v>46163</v>
      </c>
      <c r="C257" s="35" t="s">
        <v>403</v>
      </c>
      <c r="D257" s="51">
        <v>18511407778</v>
      </c>
      <c r="E257" s="35" t="s">
        <v>315</v>
      </c>
      <c r="F257" s="35" t="s">
        <v>189</v>
      </c>
      <c r="G257" s="35" t="s">
        <v>1209</v>
      </c>
      <c r="H257" s="35" t="s">
        <v>162</v>
      </c>
      <c r="I257" s="35"/>
      <c r="J257" s="56">
        <v>46164.7986111111</v>
      </c>
      <c r="K257" s="35" t="s">
        <v>196</v>
      </c>
      <c r="L257" s="35" t="s">
        <v>190</v>
      </c>
      <c r="M257" s="35"/>
      <c r="N257" s="35" t="s">
        <v>662</v>
      </c>
      <c r="O257" s="35">
        <v>113</v>
      </c>
      <c r="P257" s="122" t="s">
        <v>1681</v>
      </c>
      <c r="Q257" s="35"/>
      <c r="R257" s="35"/>
      <c r="S257" s="35"/>
      <c r="T257" s="35"/>
      <c r="U257" s="35"/>
      <c r="V257" s="35"/>
      <c r="W257" s="35"/>
    </row>
    <row r="258" spans="1:23">
      <c r="A258" s="70">
        <v>257</v>
      </c>
      <c r="B258" s="36">
        <v>46163</v>
      </c>
      <c r="C258" s="35" t="s">
        <v>1682</v>
      </c>
      <c r="D258" s="52"/>
      <c r="E258" s="35" t="s">
        <v>315</v>
      </c>
      <c r="F258" s="35" t="s">
        <v>189</v>
      </c>
      <c r="G258" s="35" t="s">
        <v>1209</v>
      </c>
      <c r="H258" s="35" t="s">
        <v>162</v>
      </c>
      <c r="I258" s="35"/>
      <c r="J258" s="56">
        <v>46164.7986111111</v>
      </c>
      <c r="K258" s="35" t="s">
        <v>196</v>
      </c>
      <c r="L258" s="35" t="s">
        <v>190</v>
      </c>
      <c r="M258" s="35"/>
      <c r="N258" s="35" t="s">
        <v>662</v>
      </c>
      <c r="O258" s="35">
        <v>113</v>
      </c>
      <c r="P258" s="121" t="s">
        <v>1683</v>
      </c>
      <c r="Q258" s="35"/>
      <c r="R258" s="35"/>
      <c r="S258" s="35"/>
      <c r="T258" s="35"/>
      <c r="U258" s="35"/>
      <c r="V258" s="35"/>
      <c r="W258" s="35"/>
    </row>
    <row r="259" spans="1:23">
      <c r="A259" s="70">
        <v>258</v>
      </c>
      <c r="B259" s="36">
        <v>46163</v>
      </c>
      <c r="C259" s="35" t="s">
        <v>1684</v>
      </c>
      <c r="D259" s="35">
        <v>13124862721</v>
      </c>
      <c r="E259" s="35" t="s">
        <v>1596</v>
      </c>
      <c r="F259" s="35" t="s">
        <v>189</v>
      </c>
      <c r="G259" s="35" t="s">
        <v>1229</v>
      </c>
      <c r="H259" s="35" t="s">
        <v>162</v>
      </c>
      <c r="I259" s="35"/>
      <c r="J259" s="56">
        <v>46164.6458333333</v>
      </c>
      <c r="K259" s="35" t="s">
        <v>1596</v>
      </c>
      <c r="L259" s="35" t="s">
        <v>1229</v>
      </c>
      <c r="M259" s="35"/>
      <c r="N259" s="35" t="s">
        <v>1551</v>
      </c>
      <c r="O259" s="35">
        <v>287</v>
      </c>
      <c r="P259" s="121" t="s">
        <v>1685</v>
      </c>
      <c r="Q259" s="35"/>
      <c r="R259" s="35"/>
      <c r="S259" s="35"/>
      <c r="T259" s="35"/>
      <c r="U259" s="35"/>
      <c r="V259" s="35"/>
      <c r="W259" s="35"/>
    </row>
    <row r="260" spans="1:23">
      <c r="A260" s="70">
        <v>259</v>
      </c>
      <c r="B260" s="36">
        <v>46164</v>
      </c>
      <c r="C260" s="35" t="s">
        <v>1686</v>
      </c>
      <c r="D260" s="35">
        <v>18868632072</v>
      </c>
      <c r="E260" s="35" t="s">
        <v>860</v>
      </c>
      <c r="F260" s="35" t="s">
        <v>189</v>
      </c>
      <c r="G260" s="35"/>
      <c r="H260" s="35" t="s">
        <v>200</v>
      </c>
      <c r="I260" s="35" t="s">
        <v>722</v>
      </c>
      <c r="J260" s="56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</row>
    <row r="261" spans="1:23">
      <c r="A261" s="70">
        <v>260</v>
      </c>
      <c r="B261" s="36">
        <v>46166</v>
      </c>
      <c r="C261" s="35" t="s">
        <v>1687</v>
      </c>
      <c r="D261" s="35">
        <v>13752780580</v>
      </c>
      <c r="E261" s="35" t="s">
        <v>315</v>
      </c>
      <c r="F261" s="35" t="s">
        <v>189</v>
      </c>
      <c r="G261" s="35"/>
      <c r="H261" s="35" t="s">
        <v>200</v>
      </c>
      <c r="I261" s="35"/>
      <c r="J261" s="56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</row>
    <row r="262" ht="31.5" spans="1:23">
      <c r="A262" s="70">
        <v>261</v>
      </c>
      <c r="B262" s="36">
        <v>46167</v>
      </c>
      <c r="C262" s="35" t="s">
        <v>1688</v>
      </c>
      <c r="D262" s="35">
        <v>17826765966</v>
      </c>
      <c r="E262" s="35" t="s">
        <v>423</v>
      </c>
      <c r="F262" s="35" t="s">
        <v>189</v>
      </c>
      <c r="G262" s="35" t="s">
        <v>684</v>
      </c>
      <c r="H262" s="35" t="s">
        <v>162</v>
      </c>
      <c r="I262" s="35" t="s">
        <v>1689</v>
      </c>
      <c r="J262" s="56">
        <v>46168.7638888889</v>
      </c>
      <c r="K262" s="35" t="s">
        <v>171</v>
      </c>
      <c r="L262" s="35" t="s">
        <v>684</v>
      </c>
      <c r="M262" s="35"/>
      <c r="N262" s="35" t="s">
        <v>1690</v>
      </c>
      <c r="O262" s="35" t="s">
        <v>1691</v>
      </c>
      <c r="P262" s="122" t="s">
        <v>1692</v>
      </c>
      <c r="Q262" s="35" t="s">
        <v>1693</v>
      </c>
      <c r="R262" s="35"/>
      <c r="S262" s="35"/>
      <c r="T262" s="35"/>
      <c r="U262" s="35"/>
      <c r="V262" s="35"/>
      <c r="W262" s="35"/>
    </row>
    <row r="263" spans="1:23">
      <c r="A263" s="70">
        <v>262</v>
      </c>
      <c r="B263" s="36">
        <v>46167</v>
      </c>
      <c r="C263" s="35" t="s">
        <v>1694</v>
      </c>
      <c r="D263" s="35">
        <v>15268609932</v>
      </c>
      <c r="E263" s="35" t="s">
        <v>423</v>
      </c>
      <c r="F263" s="35" t="s">
        <v>396</v>
      </c>
      <c r="G263" s="35" t="s">
        <v>684</v>
      </c>
      <c r="H263" s="35" t="s">
        <v>162</v>
      </c>
      <c r="I263" s="35"/>
      <c r="J263" s="56">
        <v>46168.7638888889</v>
      </c>
      <c r="K263" s="35" t="s">
        <v>171</v>
      </c>
      <c r="L263" s="35" t="s">
        <v>684</v>
      </c>
      <c r="M263" s="35"/>
      <c r="N263" s="35" t="s">
        <v>1268</v>
      </c>
      <c r="O263" s="35" t="s">
        <v>1695</v>
      </c>
      <c r="P263" s="121" t="s">
        <v>1696</v>
      </c>
      <c r="Q263" s="35" t="s">
        <v>1693</v>
      </c>
      <c r="R263" s="35"/>
      <c r="S263" s="35"/>
      <c r="T263" s="35"/>
      <c r="U263" s="35"/>
      <c r="V263" s="35"/>
      <c r="W263" s="35"/>
    </row>
    <row r="264" spans="1:23">
      <c r="A264" s="70">
        <v>263</v>
      </c>
      <c r="B264" s="36">
        <v>46167</v>
      </c>
      <c r="C264" s="35" t="s">
        <v>1697</v>
      </c>
      <c r="D264" s="35">
        <v>15158392119</v>
      </c>
      <c r="E264" s="35" t="s">
        <v>1446</v>
      </c>
      <c r="F264" s="35" t="s">
        <v>189</v>
      </c>
      <c r="G264" s="35"/>
      <c r="H264" s="35" t="s">
        <v>200</v>
      </c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</row>
    <row r="265" ht="78.75" spans="1:23">
      <c r="A265" s="70">
        <v>264</v>
      </c>
      <c r="B265" s="36">
        <v>46167</v>
      </c>
      <c r="C265" s="35" t="s">
        <v>388</v>
      </c>
      <c r="D265" s="35">
        <v>19560380229</v>
      </c>
      <c r="E265" s="35" t="s">
        <v>315</v>
      </c>
      <c r="F265" s="35" t="s">
        <v>189</v>
      </c>
      <c r="G265" s="35" t="s">
        <v>1236</v>
      </c>
      <c r="H265" s="35" t="s">
        <v>162</v>
      </c>
      <c r="I265" s="35" t="s">
        <v>1698</v>
      </c>
      <c r="J265" s="56">
        <v>46167.8194444444</v>
      </c>
      <c r="K265" s="35" t="s">
        <v>171</v>
      </c>
      <c r="L265" s="35" t="s">
        <v>869</v>
      </c>
      <c r="M265" s="35"/>
      <c r="N265" s="35" t="s">
        <v>1699</v>
      </c>
      <c r="O265" s="35">
        <v>287</v>
      </c>
      <c r="P265" s="122" t="s">
        <v>1700</v>
      </c>
      <c r="Q265" s="35"/>
      <c r="R265" s="35"/>
      <c r="S265" s="35"/>
      <c r="T265" s="35"/>
      <c r="U265" s="35"/>
      <c r="V265" s="35"/>
      <c r="W265" s="35"/>
    </row>
    <row r="266" spans="1:23">
      <c r="A266" s="70">
        <v>265</v>
      </c>
      <c r="B266" s="36">
        <v>46167</v>
      </c>
      <c r="C266" s="35" t="s">
        <v>445</v>
      </c>
      <c r="D266" s="35">
        <v>18857450145</v>
      </c>
      <c r="E266" s="35" t="s">
        <v>159</v>
      </c>
      <c r="F266" s="35" t="s">
        <v>189</v>
      </c>
      <c r="G266" s="35" t="s">
        <v>1209</v>
      </c>
      <c r="H266" s="35" t="s">
        <v>200</v>
      </c>
      <c r="I266" s="35" t="s">
        <v>1701</v>
      </c>
      <c r="J266" s="56">
        <v>46169.5833333333</v>
      </c>
      <c r="K266" s="35" t="s">
        <v>171</v>
      </c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</row>
    <row r="267" spans="1:23">
      <c r="A267" s="70">
        <v>266</v>
      </c>
      <c r="B267" s="36">
        <v>46168</v>
      </c>
      <c r="C267" s="35" t="s">
        <v>1702</v>
      </c>
      <c r="D267" s="35">
        <v>18268515831</v>
      </c>
      <c r="E267" s="35" t="s">
        <v>725</v>
      </c>
      <c r="F267" s="35" t="s">
        <v>189</v>
      </c>
      <c r="G267" s="35" t="s">
        <v>1209</v>
      </c>
      <c r="H267" s="35" t="s">
        <v>162</v>
      </c>
      <c r="I267" s="35"/>
      <c r="J267" s="56">
        <v>46171.5138888889</v>
      </c>
      <c r="K267" s="35" t="s">
        <v>171</v>
      </c>
      <c r="L267" s="35" t="s">
        <v>1209</v>
      </c>
      <c r="M267" s="35" t="s">
        <v>162</v>
      </c>
      <c r="N267" s="35"/>
      <c r="O267" s="35"/>
      <c r="P267" s="35"/>
      <c r="Q267" s="35" t="s">
        <v>1703</v>
      </c>
      <c r="R267" s="35" t="s">
        <v>1704</v>
      </c>
      <c r="S267" s="35"/>
      <c r="T267" s="35"/>
      <c r="U267" s="35"/>
      <c r="V267" s="35"/>
      <c r="W267" s="35"/>
    </row>
    <row r="268" spans="1:23">
      <c r="A268" s="70">
        <v>267</v>
      </c>
      <c r="B268" s="36">
        <v>46168</v>
      </c>
      <c r="C268" s="35" t="s">
        <v>1705</v>
      </c>
      <c r="D268" s="35">
        <v>15524559339</v>
      </c>
      <c r="E268" s="35" t="s">
        <v>168</v>
      </c>
      <c r="F268" s="35" t="s">
        <v>189</v>
      </c>
      <c r="G268" s="35" t="s">
        <v>684</v>
      </c>
      <c r="H268" s="35" t="s">
        <v>162</v>
      </c>
      <c r="I268" s="35"/>
      <c r="J268" s="56">
        <v>46168.5833333333</v>
      </c>
      <c r="K268" s="35" t="s">
        <v>289</v>
      </c>
      <c r="L268" s="35" t="s">
        <v>248</v>
      </c>
      <c r="M268" s="35"/>
      <c r="N268" s="35" t="s">
        <v>1211</v>
      </c>
      <c r="O268" s="35">
        <v>130.17</v>
      </c>
      <c r="P268" s="121" t="s">
        <v>1706</v>
      </c>
      <c r="Q268" s="35" t="s">
        <v>1707</v>
      </c>
      <c r="R268" s="35"/>
      <c r="S268" s="35"/>
      <c r="T268" s="35"/>
      <c r="U268" s="35"/>
      <c r="V268" s="35"/>
      <c r="W268" s="35"/>
    </row>
    <row r="269" spans="1:23">
      <c r="A269" s="70">
        <v>268</v>
      </c>
      <c r="B269" s="36">
        <v>46169</v>
      </c>
      <c r="C269" s="35">
        <v>9</v>
      </c>
      <c r="D269" s="35">
        <v>18606622181</v>
      </c>
      <c r="E269" s="35" t="s">
        <v>315</v>
      </c>
      <c r="F269" s="35" t="s">
        <v>169</v>
      </c>
      <c r="G269" s="35"/>
      <c r="H269" s="35" t="s">
        <v>200</v>
      </c>
      <c r="I269" s="35" t="s">
        <v>534</v>
      </c>
      <c r="J269" s="56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</row>
    <row r="270" spans="1:23">
      <c r="A270" s="70">
        <v>269</v>
      </c>
      <c r="B270" s="36">
        <v>46169</v>
      </c>
      <c r="C270" s="35" t="s">
        <v>887</v>
      </c>
      <c r="D270" s="35">
        <v>13906690433</v>
      </c>
      <c r="E270" s="35" t="s">
        <v>1662</v>
      </c>
      <c r="F270" s="35" t="s">
        <v>189</v>
      </c>
      <c r="G270" s="35"/>
      <c r="H270" s="35" t="s">
        <v>200</v>
      </c>
      <c r="I270" s="35"/>
      <c r="J270" s="56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</row>
    <row r="271" spans="1:23">
      <c r="A271" s="70">
        <v>270</v>
      </c>
      <c r="B271" s="36">
        <v>46172</v>
      </c>
      <c r="C271" s="35" t="s">
        <v>1708</v>
      </c>
      <c r="D271" s="35">
        <v>13355655346</v>
      </c>
      <c r="E271" s="35" t="s">
        <v>1709</v>
      </c>
      <c r="F271" s="35" t="s">
        <v>189</v>
      </c>
      <c r="G271" s="35" t="s">
        <v>248</v>
      </c>
      <c r="H271" s="35" t="s">
        <v>162</v>
      </c>
      <c r="I271" s="35"/>
      <c r="J271" s="56">
        <v>46172.7708333333</v>
      </c>
      <c r="K271" s="35" t="s">
        <v>1710</v>
      </c>
      <c r="L271" s="35" t="s">
        <v>1247</v>
      </c>
      <c r="M271" s="35"/>
      <c r="N271" s="35" t="s">
        <v>1339</v>
      </c>
      <c r="O271" s="35">
        <v>75</v>
      </c>
      <c r="P271" s="121" t="s">
        <v>1711</v>
      </c>
      <c r="Q271" s="35"/>
      <c r="R271" s="35"/>
      <c r="S271" s="35"/>
      <c r="T271" s="35"/>
      <c r="U271" s="35"/>
      <c r="V271" s="35"/>
      <c r="W271" s="35"/>
    </row>
    <row r="272" spans="1:23">
      <c r="A272" s="70">
        <v>271</v>
      </c>
      <c r="B272" s="36">
        <v>46172</v>
      </c>
      <c r="C272" s="35" t="s">
        <v>1712</v>
      </c>
      <c r="D272" s="35">
        <v>18768597938</v>
      </c>
      <c r="E272" s="35" t="s">
        <v>1713</v>
      </c>
      <c r="F272" s="35" t="s">
        <v>189</v>
      </c>
      <c r="G272" s="35" t="s">
        <v>1209</v>
      </c>
      <c r="H272" s="35" t="s">
        <v>162</v>
      </c>
      <c r="I272" s="35"/>
      <c r="J272" s="56">
        <v>46177.5</v>
      </c>
      <c r="K272" s="35" t="s">
        <v>1714</v>
      </c>
      <c r="L272" s="35" t="s">
        <v>1209</v>
      </c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</row>
    <row r="273" spans="1:23">
      <c r="A273" s="70">
        <v>272</v>
      </c>
      <c r="B273" s="36">
        <v>46173</v>
      </c>
      <c r="C273" s="35" t="s">
        <v>1402</v>
      </c>
      <c r="D273" s="35">
        <v>15858483379</v>
      </c>
      <c r="E273" s="35" t="s">
        <v>315</v>
      </c>
      <c r="F273" s="35" t="s">
        <v>189</v>
      </c>
      <c r="G273" s="35" t="s">
        <v>1229</v>
      </c>
      <c r="H273" s="35" t="s">
        <v>162</v>
      </c>
      <c r="I273" s="35"/>
      <c r="J273" s="56">
        <v>46173.5833333333</v>
      </c>
      <c r="K273" s="35" t="s">
        <v>196</v>
      </c>
      <c r="L273" s="35" t="s">
        <v>1209</v>
      </c>
      <c r="M273" s="35"/>
      <c r="N273" s="35" t="s">
        <v>662</v>
      </c>
      <c r="O273" s="35">
        <v>113</v>
      </c>
      <c r="P273" s="121" t="s">
        <v>1715</v>
      </c>
      <c r="Q273" s="35"/>
      <c r="R273" s="35"/>
      <c r="S273" s="35"/>
      <c r="T273" s="35"/>
      <c r="U273" s="35"/>
      <c r="V273" s="35"/>
      <c r="W273" s="35"/>
    </row>
    <row r="274" s="18" customFormat="1" spans="1:23">
      <c r="A274" s="70">
        <v>273</v>
      </c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</row>
    <row r="275" spans="1:23">
      <c r="A275" s="70">
        <v>274</v>
      </c>
      <c r="B275" s="36">
        <v>46174</v>
      </c>
      <c r="C275" s="35" t="s">
        <v>928</v>
      </c>
      <c r="D275" s="35">
        <v>15362740817</v>
      </c>
      <c r="E275" s="35" t="s">
        <v>982</v>
      </c>
      <c r="F275" s="35" t="s">
        <v>189</v>
      </c>
      <c r="G275" s="35"/>
      <c r="H275" s="35" t="s">
        <v>200</v>
      </c>
      <c r="I275" s="35" t="s">
        <v>1716</v>
      </c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</row>
    <row r="276" spans="1:23">
      <c r="A276" s="70">
        <v>275</v>
      </c>
      <c r="B276" s="36">
        <v>46174</v>
      </c>
      <c r="C276" s="35" t="s">
        <v>1717</v>
      </c>
      <c r="D276" s="35">
        <v>15258324351</v>
      </c>
      <c r="E276" s="35" t="s">
        <v>1179</v>
      </c>
      <c r="F276" s="35" t="s">
        <v>189</v>
      </c>
      <c r="G276" s="35" t="s">
        <v>1229</v>
      </c>
      <c r="H276" s="35" t="s">
        <v>200</v>
      </c>
      <c r="I276" s="35" t="s">
        <v>1718</v>
      </c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</row>
    <row r="277" spans="1:23">
      <c r="A277" s="70">
        <v>276</v>
      </c>
      <c r="B277" s="36">
        <v>46175</v>
      </c>
      <c r="C277" s="35" t="s">
        <v>576</v>
      </c>
      <c r="D277" s="35">
        <v>15888077477</v>
      </c>
      <c r="E277" s="35" t="s">
        <v>1719</v>
      </c>
      <c r="F277" s="35" t="s">
        <v>189</v>
      </c>
      <c r="G277" s="35"/>
      <c r="H277" s="35" t="s">
        <v>200</v>
      </c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</row>
    <row r="278" ht="31.5" spans="1:23">
      <c r="A278" s="70">
        <v>277</v>
      </c>
      <c r="B278" s="36">
        <v>46175</v>
      </c>
      <c r="C278" s="35" t="s">
        <v>1720</v>
      </c>
      <c r="D278" s="35">
        <v>13566303491</v>
      </c>
      <c r="E278" s="35" t="s">
        <v>584</v>
      </c>
      <c r="F278" s="35" t="s">
        <v>169</v>
      </c>
      <c r="G278" s="35" t="s">
        <v>248</v>
      </c>
      <c r="H278" s="35" t="s">
        <v>162</v>
      </c>
      <c r="I278" s="35"/>
      <c r="J278" s="56">
        <v>46176.7986111111</v>
      </c>
      <c r="K278" s="35" t="s">
        <v>272</v>
      </c>
      <c r="L278" s="35" t="s">
        <v>1218</v>
      </c>
      <c r="M278" s="35"/>
      <c r="N278" s="35" t="s">
        <v>312</v>
      </c>
      <c r="O278" s="35">
        <v>44.59</v>
      </c>
      <c r="P278" s="122" t="s">
        <v>1721</v>
      </c>
      <c r="Q278" s="35" t="s">
        <v>1055</v>
      </c>
      <c r="R278" s="35"/>
      <c r="S278" s="35"/>
      <c r="T278" s="35"/>
      <c r="U278" s="35"/>
      <c r="V278" s="35"/>
      <c r="W278" s="35"/>
    </row>
    <row r="279" spans="1:23">
      <c r="A279" s="70">
        <v>278</v>
      </c>
      <c r="B279" s="36">
        <v>46176</v>
      </c>
      <c r="C279" s="35" t="s">
        <v>1722</v>
      </c>
      <c r="D279" s="35">
        <v>15867849619</v>
      </c>
      <c r="E279" s="35" t="s">
        <v>860</v>
      </c>
      <c r="F279" s="35" t="s">
        <v>169</v>
      </c>
      <c r="G279" s="35"/>
      <c r="H279" s="35" t="s">
        <v>200</v>
      </c>
      <c r="I279" s="35"/>
      <c r="J279" s="56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</row>
    <row r="280" spans="1:23">
      <c r="A280" s="70">
        <v>279</v>
      </c>
      <c r="B280" s="36">
        <v>46176</v>
      </c>
      <c r="C280" s="35" t="s">
        <v>1723</v>
      </c>
      <c r="D280" s="35">
        <v>15927128026</v>
      </c>
      <c r="E280" s="35" t="s">
        <v>1724</v>
      </c>
      <c r="F280" s="35" t="s">
        <v>189</v>
      </c>
      <c r="G280" s="35"/>
      <c r="H280" s="35" t="s">
        <v>200</v>
      </c>
      <c r="I280" s="35" t="s">
        <v>1716</v>
      </c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</row>
    <row r="281" spans="1:23">
      <c r="A281" s="70">
        <v>280</v>
      </c>
      <c r="B281" s="36">
        <v>46177</v>
      </c>
      <c r="C281" s="35" t="s">
        <v>1725</v>
      </c>
      <c r="D281" s="35">
        <v>18906688993</v>
      </c>
      <c r="E281" s="35" t="s">
        <v>315</v>
      </c>
      <c r="F281" s="35" t="s">
        <v>189</v>
      </c>
      <c r="G281" s="35" t="s">
        <v>1236</v>
      </c>
      <c r="H281" s="35" t="s">
        <v>162</v>
      </c>
      <c r="I281" s="35"/>
      <c r="J281" s="56">
        <v>46180.5833333333</v>
      </c>
      <c r="K281" s="35" t="s">
        <v>196</v>
      </c>
      <c r="L281" s="35" t="s">
        <v>1209</v>
      </c>
      <c r="M281" s="35"/>
      <c r="N281" s="35" t="s">
        <v>662</v>
      </c>
      <c r="O281" s="35">
        <v>113</v>
      </c>
      <c r="P281" s="121" t="s">
        <v>1726</v>
      </c>
      <c r="Q281" s="35"/>
      <c r="R281" s="35"/>
      <c r="S281" s="35"/>
      <c r="T281" s="35"/>
      <c r="U281" s="35"/>
      <c r="V281" s="35"/>
      <c r="W281" s="35"/>
    </row>
    <row r="282" spans="1:23">
      <c r="A282" s="70">
        <v>282</v>
      </c>
      <c r="B282" s="36">
        <v>46178</v>
      </c>
      <c r="C282" s="35" t="s">
        <v>1089</v>
      </c>
      <c r="D282" s="35">
        <v>15893117627</v>
      </c>
      <c r="E282" s="35" t="s">
        <v>754</v>
      </c>
      <c r="F282" s="35" t="s">
        <v>704</v>
      </c>
      <c r="G282" s="35" t="s">
        <v>684</v>
      </c>
      <c r="H282" s="35" t="s">
        <v>200</v>
      </c>
      <c r="I282" s="35" t="s">
        <v>1718</v>
      </c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</row>
    <row r="283" spans="1:23">
      <c r="A283" s="70">
        <v>283</v>
      </c>
      <c r="B283" s="36">
        <v>46178</v>
      </c>
      <c r="C283" s="35" t="s">
        <v>1229</v>
      </c>
      <c r="D283" s="35"/>
      <c r="E283" s="35" t="s">
        <v>754</v>
      </c>
      <c r="F283" s="35" t="s">
        <v>1727</v>
      </c>
      <c r="G283" s="35" t="s">
        <v>684</v>
      </c>
      <c r="H283" s="35" t="s">
        <v>200</v>
      </c>
      <c r="I283" s="35" t="s">
        <v>1718</v>
      </c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</row>
    <row r="284" spans="1:23">
      <c r="A284" s="70">
        <v>284</v>
      </c>
      <c r="B284" s="36">
        <v>46179</v>
      </c>
      <c r="C284" s="35" t="s">
        <v>1728</v>
      </c>
      <c r="D284" s="35">
        <v>15824577521</v>
      </c>
      <c r="E284" s="35" t="s">
        <v>657</v>
      </c>
      <c r="F284" s="35" t="s">
        <v>189</v>
      </c>
      <c r="G284" s="35"/>
      <c r="H284" s="35" t="s">
        <v>200</v>
      </c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</row>
    <row r="285" ht="47.25" spans="1:23">
      <c r="A285" s="70">
        <v>285</v>
      </c>
      <c r="B285" s="36">
        <v>46180</v>
      </c>
      <c r="C285" s="35" t="s">
        <v>1729</v>
      </c>
      <c r="D285" s="35">
        <v>13605745506</v>
      </c>
      <c r="E285" s="35" t="s">
        <v>423</v>
      </c>
      <c r="F285" s="35" t="s">
        <v>189</v>
      </c>
      <c r="G285" s="35" t="s">
        <v>1236</v>
      </c>
      <c r="H285" s="35" t="s">
        <v>162</v>
      </c>
      <c r="I285" s="35"/>
      <c r="J285" s="56">
        <v>46181.5833333333</v>
      </c>
      <c r="K285" s="35" t="s">
        <v>1667</v>
      </c>
      <c r="L285" s="35" t="s">
        <v>1229</v>
      </c>
      <c r="M285" s="35"/>
      <c r="N285" s="35" t="s">
        <v>1211</v>
      </c>
      <c r="O285" s="35">
        <v>189.99</v>
      </c>
      <c r="P285" s="38" t="s">
        <v>1730</v>
      </c>
      <c r="Q285" s="35"/>
      <c r="R285" s="35"/>
      <c r="S285" s="35"/>
      <c r="T285" s="35"/>
      <c r="U285" s="35"/>
      <c r="V285" s="35"/>
      <c r="W285" s="35"/>
    </row>
    <row r="286" ht="47.25" spans="1:23">
      <c r="A286" s="70">
        <v>286</v>
      </c>
      <c r="B286" s="36">
        <v>46181</v>
      </c>
      <c r="C286" s="35" t="s">
        <v>317</v>
      </c>
      <c r="D286" s="35">
        <v>18368438046</v>
      </c>
      <c r="E286" s="35" t="s">
        <v>1662</v>
      </c>
      <c r="F286" s="35" t="s">
        <v>189</v>
      </c>
      <c r="G286" s="35" t="s">
        <v>1229</v>
      </c>
      <c r="H286" s="35" t="s">
        <v>162</v>
      </c>
      <c r="I286" s="35"/>
      <c r="J286" s="56">
        <v>46187.7708333333</v>
      </c>
      <c r="K286" s="35" t="s">
        <v>171</v>
      </c>
      <c r="L286" s="35" t="s">
        <v>1229</v>
      </c>
      <c r="M286" s="35"/>
      <c r="N286" s="35" t="s">
        <v>1211</v>
      </c>
      <c r="O286" s="35">
        <v>194.99</v>
      </c>
      <c r="P286" s="38" t="s">
        <v>1731</v>
      </c>
      <c r="Q286" s="35"/>
      <c r="R286" s="35"/>
      <c r="S286" s="35"/>
      <c r="T286" s="35"/>
      <c r="U286" s="35"/>
      <c r="V286" s="35"/>
      <c r="W286" s="35"/>
    </row>
    <row r="287" ht="47.25" spans="1:23">
      <c r="A287" s="70">
        <v>287</v>
      </c>
      <c r="B287" s="36">
        <v>46181</v>
      </c>
      <c r="C287" s="35" t="s">
        <v>1732</v>
      </c>
      <c r="D287" s="35">
        <v>13252283730</v>
      </c>
      <c r="E287" s="35" t="s">
        <v>1733</v>
      </c>
      <c r="F287" s="35" t="s">
        <v>189</v>
      </c>
      <c r="G287" s="35" t="s">
        <v>1209</v>
      </c>
      <c r="H287" s="35" t="s">
        <v>162</v>
      </c>
      <c r="I287" s="35"/>
      <c r="J287" s="56">
        <v>46183.8194444444</v>
      </c>
      <c r="K287" s="35" t="s">
        <v>171</v>
      </c>
      <c r="L287" s="35" t="s">
        <v>300</v>
      </c>
      <c r="M287" s="35"/>
      <c r="N287" s="35" t="s">
        <v>1211</v>
      </c>
      <c r="O287" s="35">
        <v>189.99</v>
      </c>
      <c r="P287" s="38" t="s">
        <v>1734</v>
      </c>
      <c r="Q287" s="35"/>
      <c r="R287" s="35"/>
      <c r="S287" s="35"/>
      <c r="T287" s="35"/>
      <c r="U287" s="35"/>
      <c r="V287" s="35"/>
      <c r="W287" s="35"/>
    </row>
    <row r="288" spans="1:23">
      <c r="A288" s="70">
        <v>288</v>
      </c>
      <c r="B288" s="36">
        <v>46181</v>
      </c>
      <c r="C288" s="35" t="s">
        <v>1735</v>
      </c>
      <c r="D288" s="35">
        <v>15988807339</v>
      </c>
      <c r="E288" s="35" t="s">
        <v>860</v>
      </c>
      <c r="F288" s="35" t="s">
        <v>189</v>
      </c>
      <c r="G288" s="35" t="s">
        <v>1236</v>
      </c>
      <c r="H288" s="35" t="s">
        <v>162</v>
      </c>
      <c r="I288" s="35"/>
      <c r="J288" s="56">
        <v>46188.5</v>
      </c>
      <c r="K288" s="35" t="s">
        <v>171</v>
      </c>
      <c r="L288" s="35" t="s">
        <v>248</v>
      </c>
      <c r="M288" s="35"/>
      <c r="N288" s="35" t="s">
        <v>1211</v>
      </c>
      <c r="O288" s="35">
        <v>70.36</v>
      </c>
      <c r="P288" s="122" t="s">
        <v>1736</v>
      </c>
      <c r="Q288" s="35" t="s">
        <v>1737</v>
      </c>
      <c r="R288" s="35"/>
      <c r="S288" s="35"/>
      <c r="T288" s="35"/>
      <c r="U288" s="35"/>
      <c r="V288" s="35"/>
      <c r="W288" s="35"/>
    </row>
    <row r="289" spans="1:23">
      <c r="A289" s="70">
        <v>289</v>
      </c>
      <c r="B289" s="36">
        <v>46183</v>
      </c>
      <c r="C289" s="35" t="s">
        <v>403</v>
      </c>
      <c r="D289" s="35">
        <v>15707336595</v>
      </c>
      <c r="E289" s="35" t="s">
        <v>860</v>
      </c>
      <c r="F289" s="35" t="s">
        <v>189</v>
      </c>
      <c r="G289" s="35" t="s">
        <v>684</v>
      </c>
      <c r="H289" s="35" t="s">
        <v>200</v>
      </c>
      <c r="I289" s="35" t="s">
        <v>1738</v>
      </c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</row>
    <row r="290" spans="1:23">
      <c r="A290" s="70">
        <v>290</v>
      </c>
      <c r="B290" s="36">
        <v>46183</v>
      </c>
      <c r="C290" s="35" t="s">
        <v>1739</v>
      </c>
      <c r="D290" s="35"/>
      <c r="E290" s="35" t="s">
        <v>315</v>
      </c>
      <c r="F290" s="35" t="s">
        <v>189</v>
      </c>
      <c r="G290" s="35"/>
      <c r="H290" s="35" t="s">
        <v>200</v>
      </c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</row>
    <row r="291" spans="1:23">
      <c r="A291" s="70">
        <v>291</v>
      </c>
      <c r="B291" s="36">
        <v>46185</v>
      </c>
      <c r="C291" s="35">
        <v>7</v>
      </c>
      <c r="D291" s="35">
        <v>18857300273</v>
      </c>
      <c r="E291" s="35" t="s">
        <v>725</v>
      </c>
      <c r="F291" s="35" t="s">
        <v>189</v>
      </c>
      <c r="G291" s="35"/>
      <c r="H291" s="35" t="s">
        <v>200</v>
      </c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</row>
    <row r="292" spans="1:23">
      <c r="A292" s="70">
        <v>292</v>
      </c>
      <c r="B292" s="36">
        <v>46185</v>
      </c>
      <c r="C292" s="35" t="s">
        <v>1740</v>
      </c>
      <c r="D292" s="35">
        <v>15130773647</v>
      </c>
      <c r="E292" s="35" t="s">
        <v>584</v>
      </c>
      <c r="F292" s="35" t="s">
        <v>189</v>
      </c>
      <c r="G292" s="35"/>
      <c r="H292" s="35" t="s">
        <v>200</v>
      </c>
      <c r="I292" s="35" t="s">
        <v>1741</v>
      </c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</row>
    <row r="293" spans="1:23">
      <c r="A293" s="70">
        <v>293</v>
      </c>
      <c r="B293" s="36">
        <v>46187</v>
      </c>
      <c r="C293" s="35" t="s">
        <v>1742</v>
      </c>
      <c r="D293" s="35">
        <v>18764286677</v>
      </c>
      <c r="E293" s="35" t="s">
        <v>1743</v>
      </c>
      <c r="F293" s="35" t="s">
        <v>189</v>
      </c>
      <c r="G293" s="35" t="s">
        <v>1236</v>
      </c>
      <c r="H293" s="35" t="s">
        <v>162</v>
      </c>
      <c r="I293" s="35"/>
      <c r="J293" s="56">
        <v>46190.7777777778</v>
      </c>
      <c r="K293" s="35" t="s">
        <v>296</v>
      </c>
      <c r="L293" s="35" t="s">
        <v>211</v>
      </c>
      <c r="M293" s="35"/>
      <c r="N293" s="35" t="s">
        <v>468</v>
      </c>
      <c r="O293" s="35">
        <v>399</v>
      </c>
      <c r="P293" s="121" t="s">
        <v>1744</v>
      </c>
      <c r="Q293" s="35"/>
      <c r="R293" s="35"/>
      <c r="S293" s="35"/>
      <c r="T293" s="35"/>
      <c r="U293" s="35"/>
      <c r="V293" s="35"/>
      <c r="W293" s="35"/>
    </row>
    <row r="294" spans="1:23">
      <c r="A294" s="70">
        <v>294</v>
      </c>
      <c r="B294" s="36">
        <v>46188</v>
      </c>
      <c r="C294" s="35" t="s">
        <v>1745</v>
      </c>
      <c r="D294" s="35"/>
      <c r="E294" s="35" t="s">
        <v>1746</v>
      </c>
      <c r="F294" s="35" t="s">
        <v>396</v>
      </c>
      <c r="G294" s="35" t="s">
        <v>161</v>
      </c>
      <c r="H294" s="35" t="s">
        <v>162</v>
      </c>
      <c r="I294" s="35" t="s">
        <v>1747</v>
      </c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</row>
    <row r="295" ht="47.25" spans="1:23">
      <c r="A295" s="70">
        <v>295</v>
      </c>
      <c r="B295" s="36">
        <v>46189</v>
      </c>
      <c r="C295" s="35" t="s">
        <v>1748</v>
      </c>
      <c r="D295" s="35">
        <v>13237420383</v>
      </c>
      <c r="E295" s="35" t="s">
        <v>725</v>
      </c>
      <c r="F295" s="35" t="s">
        <v>189</v>
      </c>
      <c r="G295" s="35" t="s">
        <v>684</v>
      </c>
      <c r="H295" s="35" t="s">
        <v>162</v>
      </c>
      <c r="I295" s="35"/>
      <c r="J295" s="56">
        <v>46190.46875</v>
      </c>
      <c r="K295" s="35" t="s">
        <v>171</v>
      </c>
      <c r="L295" s="35" t="s">
        <v>435</v>
      </c>
      <c r="M295" s="35"/>
      <c r="N295" s="35" t="s">
        <v>1211</v>
      </c>
      <c r="O295" s="35">
        <v>189.99</v>
      </c>
      <c r="P295" s="38" t="s">
        <v>1749</v>
      </c>
      <c r="Q295" s="35"/>
      <c r="R295" s="35"/>
      <c r="S295" s="35"/>
      <c r="T295" s="35"/>
      <c r="U295" s="35"/>
      <c r="V295" s="35"/>
      <c r="W295" s="35"/>
    </row>
    <row r="296" spans="1:23">
      <c r="A296" s="70">
        <v>296</v>
      </c>
      <c r="B296" s="36">
        <v>46189</v>
      </c>
      <c r="C296" s="35" t="s">
        <v>1750</v>
      </c>
      <c r="D296" s="35">
        <v>13282279516</v>
      </c>
      <c r="E296" s="35" t="s">
        <v>1751</v>
      </c>
      <c r="F296" s="35" t="s">
        <v>189</v>
      </c>
      <c r="G296" s="35"/>
      <c r="H296" s="35" t="s">
        <v>200</v>
      </c>
      <c r="I296" s="35"/>
      <c r="J296" s="56"/>
      <c r="K296" s="35"/>
      <c r="L296" s="35"/>
      <c r="M296" s="35"/>
      <c r="N296" s="35"/>
      <c r="O296" s="35"/>
      <c r="P296" s="38"/>
      <c r="Q296" s="35"/>
      <c r="R296" s="35"/>
      <c r="S296" s="35"/>
      <c r="T296" s="35"/>
      <c r="U296" s="35"/>
      <c r="V296" s="35"/>
      <c r="W296" s="35"/>
    </row>
    <row r="297" spans="1:23">
      <c r="A297" s="70">
        <v>297</v>
      </c>
      <c r="B297" s="36">
        <v>46190</v>
      </c>
      <c r="C297" s="35" t="s">
        <v>1752</v>
      </c>
      <c r="D297" s="35">
        <v>13777277700</v>
      </c>
      <c r="E297" s="35" t="s">
        <v>1001</v>
      </c>
      <c r="F297" s="35" t="s">
        <v>189</v>
      </c>
      <c r="G297" s="35"/>
      <c r="H297" s="35" t="s">
        <v>200</v>
      </c>
      <c r="I297" s="35"/>
      <c r="J297" s="56"/>
      <c r="K297" s="35"/>
      <c r="L297" s="35"/>
      <c r="M297" s="35"/>
      <c r="N297" s="35"/>
      <c r="O297" s="35"/>
      <c r="P297" s="38"/>
      <c r="Q297" s="35"/>
      <c r="R297" s="35"/>
      <c r="S297" s="35"/>
      <c r="T297" s="35"/>
      <c r="U297" s="35"/>
      <c r="V297" s="35"/>
      <c r="W297" s="35"/>
    </row>
    <row r="298" spans="1:23">
      <c r="A298" s="70">
        <v>298</v>
      </c>
      <c r="B298" s="36">
        <v>46191</v>
      </c>
      <c r="C298" s="35" t="s">
        <v>1753</v>
      </c>
      <c r="D298" s="35">
        <v>18658267070</v>
      </c>
      <c r="E298" s="35" t="s">
        <v>191</v>
      </c>
      <c r="F298" s="35" t="s">
        <v>189</v>
      </c>
      <c r="G298" s="35"/>
      <c r="H298" s="35" t="s">
        <v>200</v>
      </c>
      <c r="I298" s="35"/>
      <c r="J298" s="56"/>
      <c r="K298" s="35"/>
      <c r="L298" s="35"/>
      <c r="M298" s="35"/>
      <c r="N298" s="35"/>
      <c r="O298" s="35"/>
      <c r="P298" s="38"/>
      <c r="Q298" s="35"/>
      <c r="R298" s="35"/>
      <c r="S298" s="35"/>
      <c r="T298" s="35"/>
      <c r="U298" s="35"/>
      <c r="V298" s="35"/>
      <c r="W298" s="35"/>
    </row>
    <row r="299" spans="1:23">
      <c r="A299" s="70">
        <v>299</v>
      </c>
      <c r="B299" s="36">
        <v>46193</v>
      </c>
      <c r="C299" s="35" t="s">
        <v>1754</v>
      </c>
      <c r="D299" s="35">
        <v>15057675301</v>
      </c>
      <c r="E299" s="35" t="s">
        <v>725</v>
      </c>
      <c r="F299" s="35" t="s">
        <v>189</v>
      </c>
      <c r="G299" s="35" t="s">
        <v>1209</v>
      </c>
      <c r="H299" s="35" t="s">
        <v>162</v>
      </c>
      <c r="I299" s="35"/>
      <c r="J299" s="56">
        <v>46193.6666666667</v>
      </c>
      <c r="K299" s="35" t="s">
        <v>1755</v>
      </c>
      <c r="L299" s="35" t="s">
        <v>1247</v>
      </c>
      <c r="M299" s="35"/>
      <c r="N299" s="35" t="s">
        <v>1675</v>
      </c>
      <c r="O299" s="35">
        <v>79</v>
      </c>
      <c r="P299" s="121" t="s">
        <v>1756</v>
      </c>
      <c r="Q299" s="35"/>
      <c r="R299" s="35"/>
      <c r="S299" s="35"/>
      <c r="T299" s="35"/>
      <c r="U299" s="35"/>
      <c r="V299" s="35"/>
      <c r="W299" s="35"/>
    </row>
    <row r="300" ht="47.25" spans="1:23">
      <c r="A300" s="70">
        <v>300</v>
      </c>
      <c r="B300" s="36">
        <v>46194</v>
      </c>
      <c r="C300" s="35" t="s">
        <v>1757</v>
      </c>
      <c r="D300" s="35">
        <v>13056930680</v>
      </c>
      <c r="E300" s="35" t="s">
        <v>584</v>
      </c>
      <c r="F300" s="35" t="s">
        <v>169</v>
      </c>
      <c r="G300" s="35" t="s">
        <v>1229</v>
      </c>
      <c r="H300" s="35" t="s">
        <v>162</v>
      </c>
      <c r="I300" s="35"/>
      <c r="J300" s="56">
        <v>46198.8194444444</v>
      </c>
      <c r="K300" s="35" t="s">
        <v>1758</v>
      </c>
      <c r="L300" s="35" t="s">
        <v>719</v>
      </c>
      <c r="M300" s="35"/>
      <c r="N300" s="35" t="s">
        <v>312</v>
      </c>
      <c r="O300" s="35">
        <v>66.88</v>
      </c>
      <c r="P300" s="38" t="s">
        <v>1759</v>
      </c>
      <c r="Q300" s="35"/>
      <c r="R300" s="35"/>
      <c r="S300" s="35"/>
      <c r="T300" s="35"/>
      <c r="U300" s="35"/>
      <c r="V300" s="35"/>
      <c r="W300" s="35"/>
    </row>
    <row r="301" ht="47.25" spans="1:23">
      <c r="A301" s="70">
        <v>301</v>
      </c>
      <c r="B301" s="36">
        <v>46195</v>
      </c>
      <c r="C301" s="35" t="s">
        <v>1760</v>
      </c>
      <c r="D301" s="35">
        <v>15258294156</v>
      </c>
      <c r="E301" s="35" t="s">
        <v>725</v>
      </c>
      <c r="F301" s="35" t="s">
        <v>189</v>
      </c>
      <c r="G301" s="35" t="s">
        <v>248</v>
      </c>
      <c r="H301" s="35" t="s">
        <v>162</v>
      </c>
      <c r="I301" s="35"/>
      <c r="J301" s="56">
        <v>46195.7708333333</v>
      </c>
      <c r="K301" s="35" t="s">
        <v>171</v>
      </c>
      <c r="L301" s="35" t="s">
        <v>211</v>
      </c>
      <c r="M301" s="35"/>
      <c r="N301" s="35" t="s">
        <v>1211</v>
      </c>
      <c r="O301" s="35">
        <v>189.99</v>
      </c>
      <c r="P301" s="38" t="s">
        <v>1761</v>
      </c>
      <c r="Q301" s="35"/>
      <c r="R301" s="35"/>
      <c r="S301" s="35"/>
      <c r="T301" s="35"/>
      <c r="U301" s="35"/>
      <c r="V301" s="35"/>
      <c r="W301" s="35"/>
    </row>
    <row r="302" spans="1:23">
      <c r="A302" s="70">
        <v>302</v>
      </c>
      <c r="B302" s="36">
        <v>46195</v>
      </c>
      <c r="C302" s="35" t="s">
        <v>1762</v>
      </c>
      <c r="D302" s="35">
        <v>18658267070</v>
      </c>
      <c r="E302" s="35" t="s">
        <v>191</v>
      </c>
      <c r="F302" s="35" t="s">
        <v>189</v>
      </c>
      <c r="G302" s="35" t="s">
        <v>1236</v>
      </c>
      <c r="H302" s="35" t="s">
        <v>162</v>
      </c>
      <c r="I302" s="35"/>
      <c r="J302" s="56">
        <v>46197.8333333333</v>
      </c>
      <c r="K302" s="35" t="s">
        <v>191</v>
      </c>
      <c r="L302" s="35" t="s">
        <v>1229</v>
      </c>
      <c r="M302" s="35"/>
      <c r="N302" s="35" t="s">
        <v>1551</v>
      </c>
      <c r="O302" s="35">
        <v>287</v>
      </c>
      <c r="P302" s="121" t="s">
        <v>1763</v>
      </c>
      <c r="Q302" s="35"/>
      <c r="R302" s="35"/>
      <c r="S302" s="35"/>
      <c r="T302" s="35"/>
      <c r="U302" s="35"/>
      <c r="V302" s="35"/>
      <c r="W302" s="35"/>
    </row>
    <row r="303" spans="1:23">
      <c r="A303" s="70">
        <v>303</v>
      </c>
      <c r="B303" s="36">
        <v>46195</v>
      </c>
      <c r="C303" s="35" t="s">
        <v>1764</v>
      </c>
      <c r="D303" s="121" t="s">
        <v>1765</v>
      </c>
      <c r="E303" s="35" t="s">
        <v>725</v>
      </c>
      <c r="F303" s="35" t="s">
        <v>1766</v>
      </c>
      <c r="G303" s="35" t="s">
        <v>1236</v>
      </c>
      <c r="H303" s="35" t="s">
        <v>162</v>
      </c>
      <c r="I303" s="35" t="s">
        <v>1767</v>
      </c>
      <c r="J303" s="56">
        <v>46198.7986111111</v>
      </c>
      <c r="K303" s="35" t="s">
        <v>1381</v>
      </c>
      <c r="L303" s="35" t="s">
        <v>164</v>
      </c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</row>
    <row r="304" spans="1:23">
      <c r="A304" s="70">
        <v>304</v>
      </c>
      <c r="B304" s="36">
        <v>46196</v>
      </c>
      <c r="C304" s="35" t="s">
        <v>1768</v>
      </c>
      <c r="D304" s="35">
        <v>18720188953</v>
      </c>
      <c r="E304" s="35" t="s">
        <v>1769</v>
      </c>
      <c r="F304" s="35" t="s">
        <v>189</v>
      </c>
      <c r="G304" s="35"/>
      <c r="H304" s="35" t="s">
        <v>200</v>
      </c>
      <c r="I304" s="35"/>
      <c r="J304" s="56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</row>
    <row r="305" spans="1:23">
      <c r="A305" s="70">
        <v>305</v>
      </c>
      <c r="B305" s="36">
        <v>46197</v>
      </c>
      <c r="C305" s="35" t="s">
        <v>1770</v>
      </c>
      <c r="D305" s="35">
        <v>15958812839</v>
      </c>
      <c r="E305" s="35" t="s">
        <v>1001</v>
      </c>
      <c r="F305" s="35" t="s">
        <v>189</v>
      </c>
      <c r="G305" s="35" t="s">
        <v>1236</v>
      </c>
      <c r="H305" s="35" t="s">
        <v>162</v>
      </c>
      <c r="I305" s="35"/>
      <c r="J305" s="56">
        <v>46197.7708333333</v>
      </c>
      <c r="K305" s="35" t="s">
        <v>1216</v>
      </c>
      <c r="L305" s="35" t="s">
        <v>248</v>
      </c>
      <c r="M305" s="35"/>
      <c r="N305" s="35" t="s">
        <v>249</v>
      </c>
      <c r="O305" s="35">
        <v>70.37</v>
      </c>
      <c r="P305" s="121" t="s">
        <v>1771</v>
      </c>
      <c r="Q305" s="35" t="s">
        <v>1737</v>
      </c>
      <c r="R305" s="35"/>
      <c r="S305" s="35"/>
      <c r="T305" s="35"/>
      <c r="U305" s="35"/>
      <c r="V305" s="35"/>
      <c r="W305" s="35"/>
    </row>
    <row r="306" spans="1:23">
      <c r="A306" s="70">
        <v>306</v>
      </c>
      <c r="B306" s="36">
        <v>46197</v>
      </c>
      <c r="C306" s="35" t="s">
        <v>1772</v>
      </c>
      <c r="D306" s="35">
        <v>13588981321</v>
      </c>
      <c r="E306" s="35" t="s">
        <v>1773</v>
      </c>
      <c r="F306" s="35" t="s">
        <v>169</v>
      </c>
      <c r="G306" s="35"/>
      <c r="H306" s="35" t="s">
        <v>200</v>
      </c>
      <c r="I306" s="35"/>
      <c r="J306" s="56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</row>
    <row r="307" spans="1:23">
      <c r="A307" s="70">
        <v>307</v>
      </c>
      <c r="B307" s="36">
        <v>46198</v>
      </c>
      <c r="C307" s="35" t="s">
        <v>1563</v>
      </c>
      <c r="D307" s="35">
        <v>13566554226</v>
      </c>
      <c r="E307" s="35" t="s">
        <v>1774</v>
      </c>
      <c r="F307" s="35" t="s">
        <v>189</v>
      </c>
      <c r="G307" s="35" t="s">
        <v>1229</v>
      </c>
      <c r="H307" s="35" t="s">
        <v>162</v>
      </c>
      <c r="I307" s="35"/>
      <c r="J307" s="56">
        <v>46204.5416666667</v>
      </c>
      <c r="K307" s="35" t="s">
        <v>296</v>
      </c>
      <c r="L307" s="35" t="s">
        <v>1229</v>
      </c>
      <c r="M307" s="35"/>
      <c r="N307" s="35" t="s">
        <v>468</v>
      </c>
      <c r="O307" s="35">
        <v>391</v>
      </c>
      <c r="P307" s="121" t="s">
        <v>1775</v>
      </c>
      <c r="Q307" s="35"/>
      <c r="R307" s="35"/>
      <c r="S307" s="35"/>
      <c r="T307" s="35"/>
      <c r="U307" s="35"/>
      <c r="V307" s="35"/>
      <c r="W307" s="35"/>
    </row>
    <row r="308" spans="1:23">
      <c r="A308" s="70">
        <v>308</v>
      </c>
      <c r="B308" s="36">
        <v>46198</v>
      </c>
      <c r="C308" s="35" t="s">
        <v>1776</v>
      </c>
      <c r="D308" s="35">
        <v>15867894555</v>
      </c>
      <c r="E308" s="35" t="s">
        <v>315</v>
      </c>
      <c r="F308" s="35" t="s">
        <v>169</v>
      </c>
      <c r="G308" s="35"/>
      <c r="H308" s="35" t="s">
        <v>200</v>
      </c>
      <c r="I308" s="35"/>
      <c r="J308" s="56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</row>
    <row r="309" spans="1:23">
      <c r="A309" s="70">
        <v>309</v>
      </c>
      <c r="B309" s="36">
        <v>46199</v>
      </c>
      <c r="C309" s="35" t="s">
        <v>1777</v>
      </c>
      <c r="D309" s="35">
        <v>13777081618</v>
      </c>
      <c r="E309" s="35" t="s">
        <v>315</v>
      </c>
      <c r="F309" s="35" t="s">
        <v>189</v>
      </c>
      <c r="G309" s="35"/>
      <c r="H309" s="35" t="s">
        <v>200</v>
      </c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</row>
    <row r="310" spans="1:23">
      <c r="A310" s="70">
        <v>310</v>
      </c>
      <c r="B310" s="36">
        <v>46199</v>
      </c>
      <c r="C310" s="35" t="s">
        <v>1778</v>
      </c>
      <c r="D310" s="35">
        <v>18368450296</v>
      </c>
      <c r="E310" s="35" t="s">
        <v>1779</v>
      </c>
      <c r="F310" s="35" t="s">
        <v>189</v>
      </c>
      <c r="G310" s="35"/>
      <c r="H310" s="35" t="s">
        <v>200</v>
      </c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</row>
    <row r="311" spans="1:23">
      <c r="A311" s="70">
        <v>311</v>
      </c>
      <c r="B311" s="36">
        <v>46199</v>
      </c>
      <c r="C311" s="35" t="s">
        <v>1173</v>
      </c>
      <c r="D311" s="35">
        <v>13056730389</v>
      </c>
      <c r="E311" s="35" t="s">
        <v>725</v>
      </c>
      <c r="F311" s="35" t="s">
        <v>189</v>
      </c>
      <c r="G311" s="35"/>
      <c r="H311" s="35" t="s">
        <v>200</v>
      </c>
      <c r="I311" s="35" t="s">
        <v>1780</v>
      </c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</row>
    <row r="312" spans="1:23">
      <c r="A312" s="70">
        <v>312</v>
      </c>
      <c r="B312" s="36">
        <v>46201</v>
      </c>
      <c r="C312" s="35" t="s">
        <v>1781</v>
      </c>
      <c r="D312" s="35"/>
      <c r="E312" s="35" t="s">
        <v>315</v>
      </c>
      <c r="F312" s="35" t="s">
        <v>189</v>
      </c>
      <c r="G312" s="35"/>
      <c r="H312" s="35" t="s">
        <v>200</v>
      </c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</row>
    <row r="313" spans="1:23">
      <c r="A313" s="70">
        <v>313</v>
      </c>
      <c r="B313" s="36">
        <v>46202</v>
      </c>
      <c r="C313" s="35" t="s">
        <v>1782</v>
      </c>
      <c r="D313" s="35"/>
      <c r="E313" s="35" t="s">
        <v>1184</v>
      </c>
      <c r="F313" s="35" t="s">
        <v>189</v>
      </c>
      <c r="G313" s="35"/>
      <c r="H313" s="35" t="s">
        <v>200</v>
      </c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</row>
    <row r="314" spans="1:23">
      <c r="A314" s="70">
        <v>314</v>
      </c>
      <c r="B314" s="36">
        <v>46202</v>
      </c>
      <c r="C314" s="35" t="s">
        <v>1783</v>
      </c>
      <c r="D314" s="35">
        <v>17682381760</v>
      </c>
      <c r="E314" s="35" t="s">
        <v>1784</v>
      </c>
      <c r="F314" s="35" t="s">
        <v>189</v>
      </c>
      <c r="G314" s="35" t="s">
        <v>684</v>
      </c>
      <c r="H314" s="35" t="s">
        <v>162</v>
      </c>
      <c r="I314" s="35"/>
      <c r="J314" s="56">
        <v>46202.6875</v>
      </c>
      <c r="K314" s="35" t="s">
        <v>296</v>
      </c>
      <c r="L314" s="35" t="s">
        <v>684</v>
      </c>
      <c r="M314" s="35"/>
      <c r="N314" s="35" t="s">
        <v>468</v>
      </c>
      <c r="O314" s="35">
        <v>384</v>
      </c>
      <c r="P314" s="121" t="s">
        <v>1785</v>
      </c>
      <c r="Q314" s="35"/>
      <c r="R314" s="35"/>
      <c r="S314" s="35"/>
      <c r="T314" s="35"/>
      <c r="U314" s="35"/>
      <c r="V314" s="35"/>
      <c r="W314" s="35"/>
    </row>
    <row r="315" spans="1:23">
      <c r="A315" s="70">
        <v>315</v>
      </c>
      <c r="B315" s="36">
        <v>46203</v>
      </c>
      <c r="C315" s="35" t="s">
        <v>1786</v>
      </c>
      <c r="D315" s="35">
        <v>13605740721</v>
      </c>
      <c r="E315" s="35" t="s">
        <v>1787</v>
      </c>
      <c r="F315" s="35" t="s">
        <v>189</v>
      </c>
      <c r="G315" s="35" t="s">
        <v>1236</v>
      </c>
      <c r="H315" s="35" t="s">
        <v>162</v>
      </c>
      <c r="I315" s="35"/>
      <c r="J315" s="56">
        <v>46204.5833333333</v>
      </c>
      <c r="K315" s="35" t="s">
        <v>296</v>
      </c>
      <c r="L315" s="35" t="s">
        <v>435</v>
      </c>
      <c r="M315" s="35"/>
      <c r="N315" s="35" t="s">
        <v>468</v>
      </c>
      <c r="O315" s="35">
        <v>385</v>
      </c>
      <c r="P315" s="121" t="s">
        <v>1788</v>
      </c>
      <c r="Q315" s="35"/>
      <c r="R315" s="35"/>
      <c r="S315" s="35"/>
      <c r="T315" s="35"/>
      <c r="U315" s="35"/>
      <c r="V315" s="35"/>
      <c r="W315" s="35"/>
    </row>
    <row r="316" s="20" customFormat="1" spans="1:23">
      <c r="A316" s="53">
        <v>316</v>
      </c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</row>
    <row r="317" ht="47.25" spans="1:23">
      <c r="A317" s="35">
        <v>1</v>
      </c>
      <c r="B317" s="36">
        <v>46205</v>
      </c>
      <c r="C317" s="35" t="s">
        <v>1789</v>
      </c>
      <c r="D317" s="35">
        <v>18801029707</v>
      </c>
      <c r="E317" s="35" t="s">
        <v>1001</v>
      </c>
      <c r="F317" s="35" t="s">
        <v>189</v>
      </c>
      <c r="G317" s="35" t="s">
        <v>248</v>
      </c>
      <c r="H317" s="35" t="s">
        <v>162</v>
      </c>
      <c r="I317" s="35" t="s">
        <v>1790</v>
      </c>
      <c r="J317" s="56">
        <v>46205.7638888889</v>
      </c>
      <c r="K317" s="35" t="s">
        <v>171</v>
      </c>
      <c r="L317" s="35" t="s">
        <v>1229</v>
      </c>
      <c r="M317" s="35"/>
      <c r="N317" s="35" t="s">
        <v>1211</v>
      </c>
      <c r="O317" s="35">
        <v>189.99</v>
      </c>
      <c r="P317" s="38" t="s">
        <v>1791</v>
      </c>
      <c r="Q317" s="35"/>
      <c r="R317" s="35"/>
      <c r="S317" s="35"/>
      <c r="T317" s="35"/>
      <c r="U317" s="35"/>
      <c r="V317" s="35"/>
      <c r="W317" s="35"/>
    </row>
    <row r="318" ht="47.25" spans="1:23">
      <c r="A318" s="35">
        <v>2</v>
      </c>
      <c r="B318" s="36">
        <v>46205</v>
      </c>
      <c r="C318" s="35" t="s">
        <v>1792</v>
      </c>
      <c r="D318" s="35">
        <v>18603626762</v>
      </c>
      <c r="E318" s="35" t="s">
        <v>1001</v>
      </c>
      <c r="F318" s="35" t="s">
        <v>189</v>
      </c>
      <c r="G318" s="35" t="s">
        <v>248</v>
      </c>
      <c r="H318" s="35" t="s">
        <v>162</v>
      </c>
      <c r="I318" s="35" t="s">
        <v>1793</v>
      </c>
      <c r="J318" s="56">
        <v>46205.7638888889</v>
      </c>
      <c r="K318" s="35" t="s">
        <v>171</v>
      </c>
      <c r="L318" s="35" t="s">
        <v>1229</v>
      </c>
      <c r="M318" s="35"/>
      <c r="N318" s="35" t="s">
        <v>1211</v>
      </c>
      <c r="O318" s="35">
        <v>189.99</v>
      </c>
      <c r="P318" s="38" t="s">
        <v>1794</v>
      </c>
      <c r="Q318" s="35"/>
      <c r="R318" s="35"/>
      <c r="S318" s="35"/>
      <c r="T318" s="35"/>
      <c r="U318" s="35"/>
      <c r="V318" s="35"/>
      <c r="W318" s="35"/>
    </row>
    <row r="319" spans="1:23">
      <c r="A319" s="35">
        <v>3</v>
      </c>
      <c r="B319" s="36">
        <v>46206</v>
      </c>
      <c r="C319" s="35" t="s">
        <v>1795</v>
      </c>
      <c r="D319" s="35">
        <v>13646628623</v>
      </c>
      <c r="E319" s="35" t="s">
        <v>315</v>
      </c>
      <c r="F319" s="35" t="s">
        <v>189</v>
      </c>
      <c r="G319" s="35" t="s">
        <v>1209</v>
      </c>
      <c r="H319" s="35" t="s">
        <v>162</v>
      </c>
      <c r="I319" s="35"/>
      <c r="J319" s="56">
        <v>46208.5833333333</v>
      </c>
      <c r="K319" s="35" t="s">
        <v>196</v>
      </c>
      <c r="L319" s="35" t="s">
        <v>1209</v>
      </c>
      <c r="M319" s="35"/>
      <c r="N319" s="35" t="s">
        <v>522</v>
      </c>
      <c r="O319" s="35">
        <v>98.33</v>
      </c>
      <c r="P319" s="121" t="s">
        <v>1796</v>
      </c>
      <c r="Q319" s="35"/>
      <c r="R319" s="35"/>
      <c r="S319" s="35"/>
      <c r="T319" s="35"/>
      <c r="U319" s="35"/>
      <c r="V319" s="35"/>
      <c r="W319" s="35"/>
    </row>
    <row r="320" spans="1:23">
      <c r="A320" s="35">
        <v>4</v>
      </c>
      <c r="B320" s="36">
        <v>46206</v>
      </c>
      <c r="C320" s="35" t="s">
        <v>1797</v>
      </c>
      <c r="D320" s="35">
        <v>13646628623</v>
      </c>
      <c r="E320" s="35" t="s">
        <v>315</v>
      </c>
      <c r="F320" s="35" t="s">
        <v>189</v>
      </c>
      <c r="G320" s="35" t="s">
        <v>1209</v>
      </c>
      <c r="H320" s="35" t="s">
        <v>162</v>
      </c>
      <c r="I320" s="35"/>
      <c r="J320" s="56">
        <v>46208.5833333333</v>
      </c>
      <c r="K320" s="35" t="s">
        <v>196</v>
      </c>
      <c r="L320" s="35" t="s">
        <v>1209</v>
      </c>
      <c r="M320" s="35"/>
      <c r="N320" s="35" t="s">
        <v>522</v>
      </c>
      <c r="O320" s="35">
        <v>98.33</v>
      </c>
      <c r="P320" s="121" t="s">
        <v>1798</v>
      </c>
      <c r="Q320" s="35"/>
      <c r="R320" s="35"/>
      <c r="S320" s="35"/>
      <c r="T320" s="35"/>
      <c r="U320" s="35"/>
      <c r="V320" s="35"/>
      <c r="W320" s="35"/>
    </row>
    <row r="321" spans="1:23">
      <c r="A321" s="35">
        <v>5</v>
      </c>
      <c r="B321" s="36">
        <v>46210</v>
      </c>
      <c r="C321" s="35" t="s">
        <v>1563</v>
      </c>
      <c r="D321" s="35">
        <v>13857617563</v>
      </c>
      <c r="E321" s="35" t="s">
        <v>1799</v>
      </c>
      <c r="F321" s="35" t="s">
        <v>189</v>
      </c>
      <c r="G321" s="35" t="s">
        <v>684</v>
      </c>
      <c r="H321" s="35" t="s">
        <v>162</v>
      </c>
      <c r="I321" s="35"/>
      <c r="J321" s="56">
        <v>46210.75</v>
      </c>
      <c r="K321" s="35" t="s">
        <v>1800</v>
      </c>
      <c r="L321" s="35" t="s">
        <v>1218</v>
      </c>
      <c r="M321" s="35"/>
      <c r="N321" s="35" t="s">
        <v>285</v>
      </c>
      <c r="O321" s="35">
        <v>93</v>
      </c>
      <c r="P321" s="121" t="s">
        <v>1801</v>
      </c>
      <c r="Q321" s="35"/>
      <c r="R321" s="35"/>
      <c r="S321" s="35"/>
      <c r="T321" s="35"/>
      <c r="U321" s="35"/>
      <c r="V321" s="35"/>
      <c r="W321" s="35"/>
    </row>
    <row r="322" spans="1:23">
      <c r="A322" s="35">
        <v>6</v>
      </c>
      <c r="B322" s="36">
        <v>46211</v>
      </c>
      <c r="C322" s="35" t="s">
        <v>1802</v>
      </c>
      <c r="D322" s="35"/>
      <c r="E322" s="35" t="s">
        <v>1751</v>
      </c>
      <c r="F322" s="35" t="s">
        <v>189</v>
      </c>
      <c r="G322" s="35"/>
      <c r="H322" s="35" t="s">
        <v>200</v>
      </c>
      <c r="I322" s="35" t="s">
        <v>1803</v>
      </c>
      <c r="J322" s="56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</row>
    <row r="323" spans="1:23">
      <c r="A323" s="35">
        <v>7</v>
      </c>
      <c r="B323" s="36">
        <v>46211</v>
      </c>
      <c r="C323" s="35">
        <v>33</v>
      </c>
      <c r="D323" s="35">
        <v>13965592820</v>
      </c>
      <c r="E323" s="35" t="s">
        <v>1804</v>
      </c>
      <c r="F323" s="35" t="s">
        <v>189</v>
      </c>
      <c r="G323" s="35"/>
      <c r="H323" s="35" t="s">
        <v>200</v>
      </c>
      <c r="I323" s="35" t="s">
        <v>1805</v>
      </c>
      <c r="J323" s="56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</row>
    <row r="324" ht="47.25" spans="1:23">
      <c r="A324" s="35">
        <v>8</v>
      </c>
      <c r="B324" s="36">
        <v>46212</v>
      </c>
      <c r="C324" s="35" t="s">
        <v>1806</v>
      </c>
      <c r="D324" s="35">
        <v>13626848272</v>
      </c>
      <c r="E324" s="35" t="s">
        <v>315</v>
      </c>
      <c r="F324" s="35" t="s">
        <v>189</v>
      </c>
      <c r="G324" s="35" t="s">
        <v>1209</v>
      </c>
      <c r="H324" s="35" t="s">
        <v>162</v>
      </c>
      <c r="I324" s="35"/>
      <c r="J324" s="56">
        <v>46222.5833333333</v>
      </c>
      <c r="K324" s="35" t="s">
        <v>196</v>
      </c>
      <c r="L324" s="35" t="s">
        <v>1209</v>
      </c>
      <c r="M324" s="35" t="s">
        <v>162</v>
      </c>
      <c r="N324" s="35" t="s">
        <v>1268</v>
      </c>
      <c r="O324" s="35">
        <v>157.79</v>
      </c>
      <c r="P324" s="122" t="s">
        <v>1807</v>
      </c>
      <c r="Q324" s="35" t="s">
        <v>1213</v>
      </c>
      <c r="R324" s="35">
        <v>4660</v>
      </c>
      <c r="S324" s="35"/>
      <c r="T324" s="35"/>
      <c r="U324" s="35"/>
      <c r="V324" s="35"/>
      <c r="W324" s="35"/>
    </row>
    <row r="325" spans="1:23">
      <c r="A325" s="35">
        <v>9</v>
      </c>
      <c r="B325" s="36">
        <v>46214</v>
      </c>
      <c r="C325" s="35" t="s">
        <v>1808</v>
      </c>
      <c r="D325" s="35">
        <v>15824201782</v>
      </c>
      <c r="E325" s="35" t="s">
        <v>296</v>
      </c>
      <c r="F325" s="35" t="s">
        <v>189</v>
      </c>
      <c r="G325" s="35"/>
      <c r="H325" s="35" t="s">
        <v>200</v>
      </c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</row>
    <row r="326" spans="1:23">
      <c r="A326" s="35">
        <v>10</v>
      </c>
      <c r="B326" s="36">
        <v>46214</v>
      </c>
      <c r="C326" s="35" t="s">
        <v>1809</v>
      </c>
      <c r="D326" s="35">
        <v>13757434379</v>
      </c>
      <c r="E326" s="35" t="s">
        <v>725</v>
      </c>
      <c r="F326" s="35" t="s">
        <v>169</v>
      </c>
      <c r="G326" s="35"/>
      <c r="H326" s="35" t="s">
        <v>200</v>
      </c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</row>
    <row r="327" spans="1:23">
      <c r="A327" s="35">
        <v>11</v>
      </c>
      <c r="B327" s="36">
        <v>46217</v>
      </c>
      <c r="C327" s="35" t="s">
        <v>1810</v>
      </c>
      <c r="D327" s="35">
        <v>13336632653</v>
      </c>
      <c r="E327" s="35" t="s">
        <v>725</v>
      </c>
      <c r="F327" s="35" t="s">
        <v>189</v>
      </c>
      <c r="G327" s="35" t="s">
        <v>1236</v>
      </c>
      <c r="H327" s="35" t="s">
        <v>162</v>
      </c>
      <c r="I327" s="35"/>
      <c r="J327" s="56">
        <v>46219.7638888889</v>
      </c>
      <c r="K327" s="35" t="s">
        <v>171</v>
      </c>
      <c r="L327" s="35" t="s">
        <v>1229</v>
      </c>
      <c r="M327" s="35"/>
      <c r="N327" s="35" t="s">
        <v>1211</v>
      </c>
      <c r="O327" s="35">
        <v>70.37</v>
      </c>
      <c r="P327" s="121" t="s">
        <v>1811</v>
      </c>
      <c r="Q327" s="35" t="s">
        <v>1812</v>
      </c>
      <c r="R327" s="35"/>
      <c r="S327" s="35"/>
      <c r="T327" s="35"/>
      <c r="U327" s="35"/>
      <c r="V327" s="35"/>
      <c r="W327" s="35"/>
    </row>
    <row r="328" ht="47.25" spans="1:23">
      <c r="A328" s="35">
        <v>12</v>
      </c>
      <c r="B328" s="36">
        <v>46217</v>
      </c>
      <c r="C328" s="35" t="s">
        <v>1813</v>
      </c>
      <c r="D328" s="35">
        <v>18768144653</v>
      </c>
      <c r="E328" s="35" t="s">
        <v>1814</v>
      </c>
      <c r="F328" s="35" t="s">
        <v>189</v>
      </c>
      <c r="G328" s="35" t="s">
        <v>1236</v>
      </c>
      <c r="H328" s="35" t="s">
        <v>162</v>
      </c>
      <c r="I328" s="35"/>
      <c r="J328" s="56">
        <v>46218.8194444444</v>
      </c>
      <c r="K328" s="35" t="s">
        <v>171</v>
      </c>
      <c r="L328" s="35" t="s">
        <v>300</v>
      </c>
      <c r="M328" s="35" t="s">
        <v>162</v>
      </c>
      <c r="N328" s="35" t="s">
        <v>1211</v>
      </c>
      <c r="O328" s="35">
        <v>189.99</v>
      </c>
      <c r="P328" s="122" t="s">
        <v>1815</v>
      </c>
      <c r="Q328" s="35" t="s">
        <v>1816</v>
      </c>
      <c r="R328" s="35">
        <v>3580</v>
      </c>
      <c r="S328" s="35"/>
      <c r="T328" s="35"/>
      <c r="U328" s="35"/>
      <c r="V328" s="35"/>
      <c r="W328" s="35"/>
    </row>
    <row r="329" spans="1:23">
      <c r="A329" s="35">
        <v>13</v>
      </c>
      <c r="B329" s="36">
        <v>46217</v>
      </c>
      <c r="C329" s="35" t="s">
        <v>1817</v>
      </c>
      <c r="D329" s="35">
        <v>18267851608</v>
      </c>
      <c r="E329" s="35" t="s">
        <v>584</v>
      </c>
      <c r="F329" s="35" t="s">
        <v>169</v>
      </c>
      <c r="G329" s="35"/>
      <c r="H329" s="35" t="s">
        <v>200</v>
      </c>
      <c r="I329" s="35" t="s">
        <v>1818</v>
      </c>
      <c r="J329" s="56"/>
      <c r="K329" s="35"/>
      <c r="L329" s="35"/>
      <c r="M329" s="35"/>
      <c r="N329" s="35"/>
      <c r="O329" s="35"/>
      <c r="P329" s="38"/>
      <c r="Q329" s="35"/>
      <c r="R329" s="35"/>
      <c r="S329" s="35"/>
      <c r="T329" s="35"/>
      <c r="U329" s="35"/>
      <c r="V329" s="35"/>
      <c r="W329" s="35"/>
    </row>
    <row r="330" spans="1:23">
      <c r="A330" s="35">
        <v>14</v>
      </c>
      <c r="B330" s="36">
        <v>46217</v>
      </c>
      <c r="C330" s="35" t="s">
        <v>1819</v>
      </c>
      <c r="D330" s="35">
        <v>18258959535</v>
      </c>
      <c r="E330" s="35" t="s">
        <v>1820</v>
      </c>
      <c r="F330" s="35" t="s">
        <v>169</v>
      </c>
      <c r="G330" s="35"/>
      <c r="H330" s="35" t="s">
        <v>200</v>
      </c>
      <c r="I330" s="35"/>
      <c r="J330" s="56"/>
      <c r="K330" s="35"/>
      <c r="L330" s="35"/>
      <c r="M330" s="35"/>
      <c r="N330" s="35"/>
      <c r="O330" s="35"/>
      <c r="P330" s="38"/>
      <c r="Q330" s="35"/>
      <c r="R330" s="35"/>
      <c r="S330" s="35"/>
      <c r="T330" s="35"/>
      <c r="U330" s="35"/>
      <c r="V330" s="35"/>
      <c r="W330" s="35"/>
    </row>
    <row r="331" spans="1:23">
      <c r="A331" s="35">
        <v>15</v>
      </c>
      <c r="B331" s="36">
        <v>46218</v>
      </c>
      <c r="C331" s="35" t="s">
        <v>1821</v>
      </c>
      <c r="D331" s="35">
        <v>13588981321</v>
      </c>
      <c r="E331" s="35" t="s">
        <v>1822</v>
      </c>
      <c r="F331" s="35" t="s">
        <v>169</v>
      </c>
      <c r="G331" s="35" t="s">
        <v>248</v>
      </c>
      <c r="H331" s="35" t="s">
        <v>162</v>
      </c>
      <c r="I331" s="35"/>
      <c r="J331" s="56">
        <v>46219.3541666667</v>
      </c>
      <c r="K331" s="35" t="s">
        <v>296</v>
      </c>
      <c r="L331" s="35" t="s">
        <v>248</v>
      </c>
      <c r="M331" s="35" t="s">
        <v>162</v>
      </c>
      <c r="N331" s="35" t="s">
        <v>468</v>
      </c>
      <c r="O331" s="35">
        <v>372.4</v>
      </c>
      <c r="P331" s="121" t="s">
        <v>1823</v>
      </c>
      <c r="Q331" s="35" t="s">
        <v>1440</v>
      </c>
      <c r="R331" s="35">
        <v>6999</v>
      </c>
      <c r="S331" s="35"/>
      <c r="T331" s="35"/>
      <c r="U331" s="35"/>
      <c r="V331" s="35"/>
      <c r="W331" s="35"/>
    </row>
    <row r="332" spans="1:23">
      <c r="A332" s="35">
        <v>16</v>
      </c>
      <c r="B332" s="36">
        <v>46218</v>
      </c>
      <c r="C332" s="35" t="s">
        <v>1294</v>
      </c>
      <c r="D332" s="35">
        <v>15957854098</v>
      </c>
      <c r="E332" s="35" t="s">
        <v>1370</v>
      </c>
      <c r="F332" s="35" t="s">
        <v>189</v>
      </c>
      <c r="G332" s="35" t="s">
        <v>1236</v>
      </c>
      <c r="H332" s="35" t="s">
        <v>162</v>
      </c>
      <c r="I332" s="35"/>
      <c r="J332" s="56">
        <v>46220.7708333333</v>
      </c>
      <c r="K332" s="35" t="s">
        <v>1370</v>
      </c>
      <c r="L332" s="35" t="s">
        <v>843</v>
      </c>
      <c r="M332" s="35"/>
      <c r="N332" s="35" t="s">
        <v>1211</v>
      </c>
      <c r="O332" s="35">
        <v>70.37</v>
      </c>
      <c r="P332" s="122" t="s">
        <v>1824</v>
      </c>
      <c r="Q332" s="35" t="s">
        <v>1812</v>
      </c>
      <c r="R332" s="35"/>
      <c r="S332" s="35"/>
      <c r="T332" s="35"/>
      <c r="U332" s="35"/>
      <c r="V332" s="35"/>
      <c r="W332" s="35"/>
    </row>
    <row r="333" spans="1:23">
      <c r="A333" s="35">
        <v>17</v>
      </c>
      <c r="B333" s="36">
        <v>46218</v>
      </c>
      <c r="C333" s="35" t="s">
        <v>1825</v>
      </c>
      <c r="D333" s="35">
        <v>18767119859</v>
      </c>
      <c r="E333" s="35" t="s">
        <v>584</v>
      </c>
      <c r="F333" s="35" t="s">
        <v>189</v>
      </c>
      <c r="G333" s="35"/>
      <c r="H333" s="35" t="s">
        <v>200</v>
      </c>
      <c r="I333" s="35" t="s">
        <v>1826</v>
      </c>
      <c r="J333" s="56"/>
      <c r="K333" s="35"/>
      <c r="L333" s="35"/>
      <c r="M333" s="35"/>
      <c r="N333" s="35"/>
      <c r="O333" s="35"/>
      <c r="P333" s="38"/>
      <c r="Q333" s="35"/>
      <c r="R333" s="35"/>
      <c r="S333" s="35"/>
      <c r="T333" s="35"/>
      <c r="U333" s="35"/>
      <c r="V333" s="35"/>
      <c r="W333" s="35"/>
    </row>
    <row r="334" ht="47.25" spans="1:23">
      <c r="A334" s="35">
        <v>18</v>
      </c>
      <c r="B334" s="36">
        <v>46219</v>
      </c>
      <c r="C334" s="35" t="s">
        <v>1728</v>
      </c>
      <c r="D334" s="35">
        <v>15867261991</v>
      </c>
      <c r="E334" s="35" t="s">
        <v>725</v>
      </c>
      <c r="F334" s="35" t="s">
        <v>189</v>
      </c>
      <c r="G334" s="35" t="s">
        <v>1209</v>
      </c>
      <c r="H334" s="35" t="s">
        <v>162</v>
      </c>
      <c r="I334" s="35"/>
      <c r="J334" s="56">
        <v>46220.8125</v>
      </c>
      <c r="K334" s="35" t="s">
        <v>1827</v>
      </c>
      <c r="L334" s="35" t="s">
        <v>1209</v>
      </c>
      <c r="M334" s="35"/>
      <c r="N334" s="35" t="s">
        <v>1211</v>
      </c>
      <c r="O334" s="35">
        <v>189.99</v>
      </c>
      <c r="P334" s="122" t="s">
        <v>1828</v>
      </c>
      <c r="Q334" s="35"/>
      <c r="R334" s="35"/>
      <c r="S334" s="35"/>
      <c r="T334" s="35"/>
      <c r="U334" s="35"/>
      <c r="V334" s="35"/>
      <c r="W334" s="35"/>
    </row>
    <row r="335" spans="1:23">
      <c r="A335" s="35">
        <v>19</v>
      </c>
      <c r="B335" s="36">
        <v>46219</v>
      </c>
      <c r="C335" s="35" t="s">
        <v>669</v>
      </c>
      <c r="D335" s="35">
        <v>17826856736</v>
      </c>
      <c r="E335" s="35" t="s">
        <v>1829</v>
      </c>
      <c r="F335" s="35" t="s">
        <v>169</v>
      </c>
      <c r="G335" s="35" t="s">
        <v>1236</v>
      </c>
      <c r="H335" s="35" t="s">
        <v>162</v>
      </c>
      <c r="I335" s="35"/>
      <c r="J335" s="56">
        <v>46220.8194444444</v>
      </c>
      <c r="K335" s="35" t="s">
        <v>374</v>
      </c>
      <c r="L335" s="35" t="s">
        <v>300</v>
      </c>
      <c r="M335" s="35"/>
      <c r="N335" s="35" t="s">
        <v>1268</v>
      </c>
      <c r="O335" s="35">
        <v>52.6</v>
      </c>
      <c r="P335" s="121" t="s">
        <v>1830</v>
      </c>
      <c r="Q335" s="35" t="s">
        <v>1831</v>
      </c>
      <c r="R335" s="35"/>
      <c r="S335" s="35"/>
      <c r="T335" s="35"/>
      <c r="U335" s="35"/>
      <c r="V335" s="35"/>
      <c r="W335" s="35"/>
    </row>
    <row r="336" spans="1:23">
      <c r="A336" s="35">
        <v>20</v>
      </c>
      <c r="B336" s="36">
        <v>46219</v>
      </c>
      <c r="C336" s="35" t="s">
        <v>1832</v>
      </c>
      <c r="D336" s="35"/>
      <c r="E336" s="35" t="s">
        <v>296</v>
      </c>
      <c r="F336" s="35" t="s">
        <v>189</v>
      </c>
      <c r="G336" s="35"/>
      <c r="H336" s="35" t="s">
        <v>200</v>
      </c>
      <c r="I336" s="35" t="s">
        <v>1833</v>
      </c>
      <c r="J336" s="56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</row>
    <row r="337" spans="1:23">
      <c r="A337" s="35">
        <v>21</v>
      </c>
      <c r="B337" s="36">
        <v>46220</v>
      </c>
      <c r="C337" s="35" t="s">
        <v>1834</v>
      </c>
      <c r="D337" s="35">
        <v>18217480994</v>
      </c>
      <c r="E337" s="35" t="s">
        <v>1835</v>
      </c>
      <c r="F337" s="35" t="s">
        <v>189</v>
      </c>
      <c r="G337" s="35" t="s">
        <v>248</v>
      </c>
      <c r="H337" s="35" t="s">
        <v>162</v>
      </c>
      <c r="I337" s="35"/>
      <c r="J337" s="56">
        <v>46220.8125</v>
      </c>
      <c r="K337" s="35" t="s">
        <v>1827</v>
      </c>
      <c r="L337" s="35" t="s">
        <v>1209</v>
      </c>
      <c r="M337" s="35"/>
      <c r="N337" s="35" t="s">
        <v>1339</v>
      </c>
      <c r="O337" s="35">
        <v>73</v>
      </c>
      <c r="P337" s="121" t="s">
        <v>1836</v>
      </c>
      <c r="Q337" s="35"/>
      <c r="R337" s="35"/>
      <c r="S337" s="35"/>
      <c r="T337" s="35"/>
      <c r="U337" s="35"/>
      <c r="V337" s="35"/>
      <c r="W337" s="35"/>
    </row>
    <row r="338" spans="1:23">
      <c r="A338" s="35">
        <v>22</v>
      </c>
      <c r="B338" s="36">
        <v>46220</v>
      </c>
      <c r="C338" s="35" t="s">
        <v>1837</v>
      </c>
      <c r="D338" s="35">
        <v>18758313862</v>
      </c>
      <c r="E338" s="35" t="s">
        <v>1596</v>
      </c>
      <c r="F338" s="35" t="s">
        <v>169</v>
      </c>
      <c r="G338" s="35"/>
      <c r="H338" s="35" t="s">
        <v>200</v>
      </c>
      <c r="I338" s="35"/>
      <c r="J338" s="56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</row>
    <row r="339" spans="1:23">
      <c r="A339" s="35">
        <v>23</v>
      </c>
      <c r="B339" s="36">
        <v>46220</v>
      </c>
      <c r="C339" s="35" t="s">
        <v>1426</v>
      </c>
      <c r="D339" s="35">
        <v>18069258373</v>
      </c>
      <c r="E339" s="35" t="s">
        <v>1838</v>
      </c>
      <c r="F339" s="35" t="s">
        <v>189</v>
      </c>
      <c r="G339" s="35"/>
      <c r="H339" s="35" t="s">
        <v>200</v>
      </c>
      <c r="I339" s="35" t="s">
        <v>1839</v>
      </c>
      <c r="J339" s="56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</row>
    <row r="340" spans="1:23">
      <c r="A340" s="35">
        <v>24</v>
      </c>
      <c r="B340" s="36">
        <v>46221</v>
      </c>
      <c r="C340" s="35" t="s">
        <v>1840</v>
      </c>
      <c r="D340" s="35">
        <v>18758351104</v>
      </c>
      <c r="E340" s="35" t="s">
        <v>1841</v>
      </c>
      <c r="F340" s="35" t="s">
        <v>169</v>
      </c>
      <c r="G340" s="35"/>
      <c r="H340" s="35" t="s">
        <v>200</v>
      </c>
      <c r="I340" s="35"/>
      <c r="J340" s="56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</row>
    <row r="341" ht="47.25" spans="1:23">
      <c r="A341" s="35">
        <v>25</v>
      </c>
      <c r="B341" s="36">
        <v>46222</v>
      </c>
      <c r="C341" s="35" t="s">
        <v>1298</v>
      </c>
      <c r="D341" s="35">
        <v>13967823621</v>
      </c>
      <c r="E341" s="35" t="s">
        <v>725</v>
      </c>
      <c r="F341" s="35" t="s">
        <v>189</v>
      </c>
      <c r="G341" s="35" t="s">
        <v>248</v>
      </c>
      <c r="H341" s="35" t="s">
        <v>162</v>
      </c>
      <c r="I341" s="35"/>
      <c r="J341" s="56">
        <v>46223.7708333333</v>
      </c>
      <c r="K341" s="35" t="s">
        <v>1755</v>
      </c>
      <c r="L341" s="35" t="s">
        <v>211</v>
      </c>
      <c r="M341" s="35"/>
      <c r="N341" s="35" t="s">
        <v>1211</v>
      </c>
      <c r="O341" s="35">
        <v>202.63</v>
      </c>
      <c r="P341" s="38" t="s">
        <v>1842</v>
      </c>
      <c r="Q341" s="35"/>
      <c r="R341" s="35"/>
      <c r="S341" s="35"/>
      <c r="T341" s="35"/>
      <c r="U341" s="35"/>
      <c r="V341" s="35"/>
      <c r="W341" s="35"/>
    </row>
    <row r="342" spans="1:23">
      <c r="A342" s="35">
        <v>26</v>
      </c>
      <c r="B342" s="36">
        <v>46223</v>
      </c>
      <c r="C342" s="35" t="s">
        <v>1843</v>
      </c>
      <c r="D342" s="35">
        <v>13484240786</v>
      </c>
      <c r="E342" s="35" t="s">
        <v>584</v>
      </c>
      <c r="F342" s="35" t="s">
        <v>169</v>
      </c>
      <c r="G342" s="35" t="s">
        <v>684</v>
      </c>
      <c r="H342" s="35" t="s">
        <v>162</v>
      </c>
      <c r="I342" s="35"/>
      <c r="J342" s="56">
        <v>46235.6666666667</v>
      </c>
      <c r="K342" s="35" t="s">
        <v>1827</v>
      </c>
      <c r="L342" s="35" t="s">
        <v>1247</v>
      </c>
      <c r="M342" s="35"/>
      <c r="N342" s="35" t="s">
        <v>312</v>
      </c>
      <c r="O342" s="35">
        <v>22.29</v>
      </c>
      <c r="P342" s="121" t="s">
        <v>1844</v>
      </c>
      <c r="Q342" s="35" t="s">
        <v>1845</v>
      </c>
      <c r="R342" s="35"/>
      <c r="S342" s="35"/>
      <c r="T342" s="35"/>
      <c r="U342" s="35"/>
      <c r="V342" s="35"/>
      <c r="W342" s="35"/>
    </row>
    <row r="343" spans="1:23">
      <c r="A343" s="35">
        <v>27</v>
      </c>
      <c r="B343" s="36">
        <v>46223</v>
      </c>
      <c r="C343" s="35" t="s">
        <v>1846</v>
      </c>
      <c r="D343" s="35"/>
      <c r="E343" s="35" t="s">
        <v>725</v>
      </c>
      <c r="F343" s="35" t="s">
        <v>189</v>
      </c>
      <c r="G343" s="35"/>
      <c r="H343" s="35" t="s">
        <v>200</v>
      </c>
      <c r="I343" s="35" t="s">
        <v>1818</v>
      </c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</row>
    <row r="344" spans="1:23">
      <c r="A344" s="35">
        <v>28</v>
      </c>
      <c r="B344" s="36">
        <v>46223</v>
      </c>
      <c r="C344" s="35" t="s">
        <v>208</v>
      </c>
      <c r="D344" s="35">
        <v>15867405321</v>
      </c>
      <c r="E344" s="35" t="s">
        <v>725</v>
      </c>
      <c r="F344" s="35" t="s">
        <v>189</v>
      </c>
      <c r="G344" s="35" t="s">
        <v>1229</v>
      </c>
      <c r="H344" s="35" t="s">
        <v>162</v>
      </c>
      <c r="I344" s="35"/>
      <c r="J344" s="56">
        <v>46226.7638888889</v>
      </c>
      <c r="K344" s="35" t="s">
        <v>171</v>
      </c>
      <c r="L344" s="35" t="s">
        <v>1229</v>
      </c>
      <c r="M344" s="35"/>
      <c r="N344" s="35" t="s">
        <v>1847</v>
      </c>
      <c r="O344" s="35">
        <v>65.27</v>
      </c>
      <c r="P344" s="121" t="s">
        <v>1848</v>
      </c>
      <c r="Q344" s="35"/>
      <c r="R344" s="35"/>
      <c r="S344" s="35"/>
      <c r="T344" s="35"/>
      <c r="U344" s="35"/>
      <c r="V344" s="35"/>
      <c r="W344" s="35"/>
    </row>
    <row r="345" spans="1:23">
      <c r="A345" s="35">
        <v>29</v>
      </c>
      <c r="B345" s="36">
        <v>46223</v>
      </c>
      <c r="C345" s="35" t="s">
        <v>1849</v>
      </c>
      <c r="D345" s="35">
        <v>17531893923</v>
      </c>
      <c r="E345" s="35" t="s">
        <v>315</v>
      </c>
      <c r="F345" s="35" t="s">
        <v>169</v>
      </c>
      <c r="G345" s="35" t="s">
        <v>1209</v>
      </c>
      <c r="H345" s="35" t="s">
        <v>162</v>
      </c>
      <c r="I345" s="35"/>
      <c r="J345" s="56">
        <v>46229.5833333333</v>
      </c>
      <c r="K345" s="35" t="s">
        <v>196</v>
      </c>
      <c r="L345" s="35" t="s">
        <v>1209</v>
      </c>
      <c r="M345" s="35" t="s">
        <v>162</v>
      </c>
      <c r="N345" s="35" t="s">
        <v>522</v>
      </c>
      <c r="O345" s="35">
        <v>86.84</v>
      </c>
      <c r="P345" s="121" t="s">
        <v>1850</v>
      </c>
      <c r="Q345" s="35" t="s">
        <v>1851</v>
      </c>
      <c r="R345" s="35">
        <v>2100</v>
      </c>
      <c r="S345" s="35"/>
      <c r="T345" s="35"/>
      <c r="U345" s="35"/>
      <c r="V345" s="35"/>
      <c r="W345" s="35"/>
    </row>
    <row r="346" spans="1:23">
      <c r="A346" s="35">
        <v>30</v>
      </c>
      <c r="B346" s="36">
        <v>46223</v>
      </c>
      <c r="C346" s="35" t="s">
        <v>1852</v>
      </c>
      <c r="D346" s="35">
        <v>15130773647</v>
      </c>
      <c r="E346" s="35" t="s">
        <v>584</v>
      </c>
      <c r="F346" s="35" t="s">
        <v>189</v>
      </c>
      <c r="G346" s="35" t="s">
        <v>1236</v>
      </c>
      <c r="H346" s="35" t="s">
        <v>162</v>
      </c>
      <c r="I346" s="35"/>
      <c r="J346" s="56">
        <v>46224.7986111111</v>
      </c>
      <c r="K346" s="35" t="s">
        <v>374</v>
      </c>
      <c r="L346" s="35" t="s">
        <v>1218</v>
      </c>
      <c r="M346" s="35" t="s">
        <v>162</v>
      </c>
      <c r="N346" s="35" t="s">
        <v>335</v>
      </c>
      <c r="O346" s="35">
        <v>63</v>
      </c>
      <c r="P346" s="121" t="s">
        <v>1853</v>
      </c>
      <c r="Q346" s="38" t="s">
        <v>443</v>
      </c>
      <c r="R346" s="35">
        <v>3560</v>
      </c>
      <c r="S346" s="35"/>
      <c r="T346" s="35"/>
      <c r="U346" s="35"/>
      <c r="V346" s="35"/>
      <c r="W346" s="35"/>
    </row>
    <row r="347" spans="1:23">
      <c r="A347" s="35">
        <v>31</v>
      </c>
      <c r="B347" s="36">
        <v>46223</v>
      </c>
      <c r="C347" s="35" t="s">
        <v>1854</v>
      </c>
      <c r="D347" s="35">
        <v>18658276858</v>
      </c>
      <c r="E347" s="35" t="s">
        <v>725</v>
      </c>
      <c r="F347" s="35" t="s">
        <v>189</v>
      </c>
      <c r="G347" s="35"/>
      <c r="H347" s="35" t="s">
        <v>200</v>
      </c>
      <c r="I347" s="35" t="s">
        <v>722</v>
      </c>
      <c r="J347" s="56"/>
      <c r="K347" s="35"/>
      <c r="L347" s="35"/>
      <c r="M347" s="35"/>
      <c r="N347" s="35"/>
      <c r="O347" s="35"/>
      <c r="P347" s="35"/>
      <c r="Q347" s="38"/>
      <c r="R347" s="35"/>
      <c r="S347" s="35"/>
      <c r="T347" s="35"/>
      <c r="U347" s="35"/>
      <c r="V347" s="35"/>
      <c r="W347" s="35"/>
    </row>
    <row r="348" spans="1:23">
      <c r="A348" s="35">
        <v>32</v>
      </c>
      <c r="B348" s="36">
        <v>46224</v>
      </c>
      <c r="C348" s="35" t="s">
        <v>1855</v>
      </c>
      <c r="D348" s="35">
        <v>15088414276</v>
      </c>
      <c r="E348" s="35" t="s">
        <v>584</v>
      </c>
      <c r="F348" s="35" t="s">
        <v>169</v>
      </c>
      <c r="G348" s="35"/>
      <c r="H348" s="35" t="s">
        <v>200</v>
      </c>
      <c r="I348" s="35"/>
      <c r="J348" s="56"/>
      <c r="K348" s="35"/>
      <c r="L348" s="35"/>
      <c r="M348" s="35"/>
      <c r="N348" s="35"/>
      <c r="O348" s="35"/>
      <c r="P348" s="35"/>
      <c r="Q348" s="38"/>
      <c r="R348" s="35"/>
      <c r="S348" s="35"/>
      <c r="T348" s="35"/>
      <c r="U348" s="35"/>
      <c r="V348" s="35"/>
      <c r="W348" s="35"/>
    </row>
    <row r="349" spans="1:23">
      <c r="A349" s="35">
        <v>33</v>
      </c>
      <c r="B349" s="36">
        <v>46224</v>
      </c>
      <c r="C349" s="35" t="s">
        <v>1856</v>
      </c>
      <c r="D349" s="35">
        <v>15245898394</v>
      </c>
      <c r="E349" s="35" t="s">
        <v>584</v>
      </c>
      <c r="F349" s="35" t="s">
        <v>169</v>
      </c>
      <c r="G349" s="35"/>
      <c r="H349" s="35" t="s">
        <v>200</v>
      </c>
      <c r="I349" s="35"/>
      <c r="J349" s="56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</row>
    <row r="350" spans="1:23">
      <c r="A350" s="35">
        <v>34</v>
      </c>
      <c r="B350" s="36">
        <v>46224</v>
      </c>
      <c r="C350" s="35" t="s">
        <v>192</v>
      </c>
      <c r="D350" s="35">
        <v>18368450296</v>
      </c>
      <c r="E350" s="35" t="s">
        <v>1779</v>
      </c>
      <c r="F350" s="35" t="s">
        <v>189</v>
      </c>
      <c r="G350" s="35" t="s">
        <v>248</v>
      </c>
      <c r="H350" s="35" t="s">
        <v>162</v>
      </c>
      <c r="I350" s="35" t="s">
        <v>1857</v>
      </c>
      <c r="J350" s="56">
        <v>46225.4791666667</v>
      </c>
      <c r="K350" s="35" t="s">
        <v>1858</v>
      </c>
      <c r="L350" s="35" t="s">
        <v>248</v>
      </c>
      <c r="M350" s="35"/>
      <c r="N350" s="35" t="s">
        <v>531</v>
      </c>
      <c r="O350" s="35">
        <v>246.05</v>
      </c>
      <c r="P350" s="121" t="s">
        <v>1859</v>
      </c>
      <c r="Q350" s="35"/>
      <c r="R350" s="35"/>
      <c r="S350" s="35"/>
      <c r="T350" s="35"/>
      <c r="U350" s="35"/>
      <c r="V350" s="35"/>
      <c r="W350" s="35"/>
    </row>
    <row r="351" spans="1:23">
      <c r="A351" s="35">
        <v>35</v>
      </c>
      <c r="B351" s="36">
        <v>46225</v>
      </c>
      <c r="C351" s="35" t="s">
        <v>928</v>
      </c>
      <c r="D351" s="35"/>
      <c r="E351" s="35" t="s">
        <v>1860</v>
      </c>
      <c r="F351" s="35" t="s">
        <v>189</v>
      </c>
      <c r="G351" s="35"/>
      <c r="H351" s="35" t="s">
        <v>200</v>
      </c>
      <c r="I351" s="35" t="s">
        <v>1861</v>
      </c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</row>
    <row r="352" spans="1:23">
      <c r="A352" s="35">
        <v>36</v>
      </c>
      <c r="B352" s="36">
        <v>46225</v>
      </c>
      <c r="C352" s="35" t="s">
        <v>1862</v>
      </c>
      <c r="D352" s="35">
        <v>18010128119</v>
      </c>
      <c r="E352" s="35" t="s">
        <v>1863</v>
      </c>
      <c r="F352" s="35" t="s">
        <v>189</v>
      </c>
      <c r="G352" s="35" t="s">
        <v>1209</v>
      </c>
      <c r="H352" s="35" t="s">
        <v>162</v>
      </c>
      <c r="I352" s="35" t="s">
        <v>1864</v>
      </c>
      <c r="J352" s="56">
        <v>46229.5833333333</v>
      </c>
      <c r="K352" s="35" t="s">
        <v>196</v>
      </c>
      <c r="L352" s="35" t="s">
        <v>1209</v>
      </c>
      <c r="M352" s="35"/>
      <c r="N352" s="35" t="s">
        <v>662</v>
      </c>
      <c r="O352" s="35">
        <v>113</v>
      </c>
      <c r="P352" s="121" t="s">
        <v>1865</v>
      </c>
      <c r="Q352" s="35"/>
      <c r="R352" s="35"/>
      <c r="S352" s="35"/>
      <c r="T352" s="35"/>
      <c r="U352" s="35"/>
      <c r="V352" s="35"/>
      <c r="W352" s="35"/>
    </row>
    <row r="353" spans="1:23">
      <c r="A353" s="35">
        <v>37</v>
      </c>
      <c r="B353" s="36">
        <v>46225</v>
      </c>
      <c r="C353" s="35" t="s">
        <v>216</v>
      </c>
      <c r="D353" s="35"/>
      <c r="E353" s="35" t="s">
        <v>1866</v>
      </c>
      <c r="F353" s="35" t="s">
        <v>189</v>
      </c>
      <c r="G353" s="35"/>
      <c r="H353" s="35" t="s">
        <v>200</v>
      </c>
      <c r="I353" s="35"/>
      <c r="J353" s="56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</row>
    <row r="354" spans="1:23">
      <c r="A354" s="35">
        <v>38</v>
      </c>
      <c r="B354" s="36">
        <v>46225</v>
      </c>
      <c r="C354" s="35" t="s">
        <v>231</v>
      </c>
      <c r="D354" s="35">
        <v>15957402294</v>
      </c>
      <c r="E354" s="35" t="s">
        <v>1606</v>
      </c>
      <c r="F354" s="35" t="s">
        <v>189</v>
      </c>
      <c r="G354" s="35"/>
      <c r="H354" s="35" t="s">
        <v>200</v>
      </c>
      <c r="I354" s="35" t="s">
        <v>1867</v>
      </c>
      <c r="J354" s="56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</row>
    <row r="355" spans="1:23">
      <c r="A355" s="35">
        <v>39</v>
      </c>
      <c r="B355" s="36">
        <v>46225</v>
      </c>
      <c r="C355" s="35" t="s">
        <v>1275</v>
      </c>
      <c r="D355" s="35">
        <v>18342615176</v>
      </c>
      <c r="E355" s="35" t="s">
        <v>1868</v>
      </c>
      <c r="F355" s="35" t="s">
        <v>169</v>
      </c>
      <c r="G355" s="35"/>
      <c r="H355" s="35" t="s">
        <v>200</v>
      </c>
      <c r="I355" s="35" t="s">
        <v>1818</v>
      </c>
      <c r="J355" s="56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</row>
    <row r="356" spans="1:23">
      <c r="A356" s="35">
        <v>40</v>
      </c>
      <c r="B356" s="36">
        <v>46226</v>
      </c>
      <c r="C356" s="35" t="s">
        <v>1869</v>
      </c>
      <c r="D356" s="35">
        <v>15067488766</v>
      </c>
      <c r="E356" s="35" t="s">
        <v>315</v>
      </c>
      <c r="F356" s="35" t="s">
        <v>189</v>
      </c>
      <c r="G356" s="35" t="s">
        <v>1209</v>
      </c>
      <c r="H356" s="35" t="s">
        <v>162</v>
      </c>
      <c r="I356" s="35"/>
      <c r="J356" s="56">
        <v>46227.6770833333</v>
      </c>
      <c r="K356" s="35" t="s">
        <v>428</v>
      </c>
      <c r="L356" s="35" t="s">
        <v>190</v>
      </c>
      <c r="M356" s="35" t="s">
        <v>162</v>
      </c>
      <c r="N356" s="35" t="s">
        <v>468</v>
      </c>
      <c r="O356" s="35">
        <v>399</v>
      </c>
      <c r="P356" s="121" t="s">
        <v>1870</v>
      </c>
      <c r="Q356" s="35" t="s">
        <v>1557</v>
      </c>
      <c r="R356" s="35">
        <v>6999</v>
      </c>
      <c r="S356" s="35"/>
      <c r="T356" s="35"/>
      <c r="U356" s="35"/>
      <c r="V356" s="35"/>
      <c r="W356" s="35"/>
    </row>
    <row r="357" spans="1:23">
      <c r="A357" s="35">
        <v>41</v>
      </c>
      <c r="B357" s="36">
        <v>46227</v>
      </c>
      <c r="C357" s="35" t="s">
        <v>1871</v>
      </c>
      <c r="D357" s="35">
        <v>19821824426</v>
      </c>
      <c r="E357" s="35" t="s">
        <v>584</v>
      </c>
      <c r="F357" s="35" t="s">
        <v>169</v>
      </c>
      <c r="G357" s="35" t="s">
        <v>248</v>
      </c>
      <c r="H357" s="35" t="s">
        <v>200</v>
      </c>
      <c r="I357" s="35" t="s">
        <v>366</v>
      </c>
      <c r="J357" s="56">
        <v>46230.75</v>
      </c>
      <c r="K357" s="35" t="s">
        <v>1872</v>
      </c>
      <c r="L357" s="35" t="s">
        <v>248</v>
      </c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</row>
    <row r="358" ht="47.25" spans="1:23">
      <c r="A358" s="35">
        <v>42</v>
      </c>
      <c r="B358" s="36">
        <v>46227</v>
      </c>
      <c r="C358" s="35" t="s">
        <v>1873</v>
      </c>
      <c r="D358" s="35">
        <v>15258794800</v>
      </c>
      <c r="E358" s="35" t="s">
        <v>725</v>
      </c>
      <c r="F358" s="35" t="s">
        <v>169</v>
      </c>
      <c r="G358" s="35" t="s">
        <v>684</v>
      </c>
      <c r="H358" s="35" t="s">
        <v>162</v>
      </c>
      <c r="I358" s="35"/>
      <c r="J358" s="56">
        <v>46230.5833333333</v>
      </c>
      <c r="K358" s="35" t="s">
        <v>1827</v>
      </c>
      <c r="L358" s="35" t="s">
        <v>684</v>
      </c>
      <c r="M358" s="35"/>
      <c r="N358" s="35" t="s">
        <v>1268</v>
      </c>
      <c r="O358" s="35">
        <v>182.4</v>
      </c>
      <c r="P358" s="38" t="s">
        <v>1874</v>
      </c>
      <c r="Q358" s="35"/>
      <c r="R358" s="35"/>
      <c r="S358" s="35"/>
      <c r="T358" s="35"/>
      <c r="U358" s="35"/>
      <c r="V358" s="35"/>
      <c r="W358" s="35"/>
    </row>
    <row r="359" spans="1:23">
      <c r="A359" s="35">
        <v>43</v>
      </c>
      <c r="B359" s="36">
        <v>46228</v>
      </c>
      <c r="C359" s="35" t="s">
        <v>1875</v>
      </c>
      <c r="D359" s="35">
        <v>15988655208</v>
      </c>
      <c r="E359" s="35" t="s">
        <v>754</v>
      </c>
      <c r="F359" s="35" t="s">
        <v>189</v>
      </c>
      <c r="G359" s="35"/>
      <c r="H359" s="35" t="s">
        <v>200</v>
      </c>
      <c r="I359" s="35"/>
      <c r="J359" s="56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</row>
    <row r="360" spans="1:23">
      <c r="A360" s="35">
        <v>44</v>
      </c>
      <c r="B360" s="36">
        <v>46228</v>
      </c>
      <c r="C360" s="35" t="s">
        <v>1876</v>
      </c>
      <c r="D360" s="35">
        <v>18352920618</v>
      </c>
      <c r="E360" s="35" t="s">
        <v>584</v>
      </c>
      <c r="F360" s="35" t="s">
        <v>169</v>
      </c>
      <c r="G360" s="35"/>
      <c r="H360" s="35" t="s">
        <v>200</v>
      </c>
      <c r="I360" s="35"/>
      <c r="J360" s="56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</row>
    <row r="361" spans="1:23">
      <c r="A361" s="35">
        <v>45</v>
      </c>
      <c r="B361" s="36">
        <v>46229</v>
      </c>
      <c r="C361" s="35" t="s">
        <v>1877</v>
      </c>
      <c r="D361" s="35">
        <v>15867537088</v>
      </c>
      <c r="E361" s="35" t="s">
        <v>750</v>
      </c>
      <c r="F361" s="35" t="s">
        <v>189</v>
      </c>
      <c r="G361" s="35" t="s">
        <v>1209</v>
      </c>
      <c r="H361" s="35" t="s">
        <v>162</v>
      </c>
      <c r="I361" s="35"/>
      <c r="J361" s="56">
        <v>46230.6041666667</v>
      </c>
      <c r="K361" s="35" t="s">
        <v>1878</v>
      </c>
      <c r="L361" s="35" t="s">
        <v>979</v>
      </c>
      <c r="M361" s="35" t="s">
        <v>162</v>
      </c>
      <c r="N361" s="35" t="s">
        <v>468</v>
      </c>
      <c r="O361" s="35">
        <v>379.05</v>
      </c>
      <c r="P361" s="122" t="s">
        <v>1879</v>
      </c>
      <c r="Q361" s="35" t="s">
        <v>1880</v>
      </c>
      <c r="R361" s="35">
        <v>10599</v>
      </c>
      <c r="S361" s="35"/>
      <c r="T361" s="35"/>
      <c r="U361" s="35"/>
      <c r="V361" s="35"/>
      <c r="W361" s="35"/>
    </row>
    <row r="362" spans="1:23">
      <c r="A362" s="35">
        <v>46</v>
      </c>
      <c r="B362" s="36">
        <v>46229</v>
      </c>
      <c r="C362" s="35" t="s">
        <v>1881</v>
      </c>
      <c r="D362" s="35">
        <v>19857875014</v>
      </c>
      <c r="E362" s="35" t="s">
        <v>584</v>
      </c>
      <c r="F362" s="35" t="s">
        <v>169</v>
      </c>
      <c r="G362" s="35"/>
      <c r="H362" s="35" t="s">
        <v>200</v>
      </c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</row>
    <row r="363" spans="1:23">
      <c r="A363" s="35">
        <v>47</v>
      </c>
      <c r="B363" s="36">
        <v>46229</v>
      </c>
      <c r="C363" s="35" t="s">
        <v>317</v>
      </c>
      <c r="D363" s="35">
        <v>13164973159</v>
      </c>
      <c r="E363" s="35" t="s">
        <v>315</v>
      </c>
      <c r="F363" s="35" t="s">
        <v>189</v>
      </c>
      <c r="G363" s="35"/>
      <c r="H363" s="35" t="s">
        <v>200</v>
      </c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</row>
    <row r="364" spans="1:23">
      <c r="A364" s="35">
        <v>48</v>
      </c>
      <c r="B364" s="36">
        <v>46230</v>
      </c>
      <c r="C364" s="35" t="s">
        <v>1882</v>
      </c>
      <c r="D364" s="35">
        <v>13958317609</v>
      </c>
      <c r="E364" s="35" t="s">
        <v>584</v>
      </c>
      <c r="F364" s="35" t="s">
        <v>169</v>
      </c>
      <c r="G364" s="35"/>
      <c r="H364" s="35" t="s">
        <v>200</v>
      </c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</row>
    <row r="365" spans="1:23">
      <c r="A365" s="35">
        <v>49</v>
      </c>
      <c r="B365" s="36">
        <v>46230</v>
      </c>
      <c r="C365" s="35" t="s">
        <v>1883</v>
      </c>
      <c r="D365" s="35">
        <v>13857805330</v>
      </c>
      <c r="E365" s="35" t="s">
        <v>584</v>
      </c>
      <c r="F365" s="35" t="s">
        <v>169</v>
      </c>
      <c r="G365" s="35"/>
      <c r="H365" s="35" t="s">
        <v>200</v>
      </c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</row>
    <row r="366" spans="1:23">
      <c r="A366" s="35">
        <v>50</v>
      </c>
      <c r="B366" s="36">
        <v>46230</v>
      </c>
      <c r="C366" s="35" t="s">
        <v>1884</v>
      </c>
      <c r="D366" s="35">
        <v>13591791622</v>
      </c>
      <c r="E366" s="35" t="s">
        <v>315</v>
      </c>
      <c r="F366" s="35" t="s">
        <v>189</v>
      </c>
      <c r="G366" s="35"/>
      <c r="H366" s="35" t="s">
        <v>200</v>
      </c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</row>
    <row r="367" ht="47.25" spans="1:23">
      <c r="A367" s="35">
        <v>51</v>
      </c>
      <c r="B367" s="36">
        <v>46230</v>
      </c>
      <c r="C367" s="35" t="s">
        <v>1885</v>
      </c>
      <c r="D367" s="35">
        <v>13566596201</v>
      </c>
      <c r="E367" s="35" t="s">
        <v>1886</v>
      </c>
      <c r="F367" s="35" t="s">
        <v>189</v>
      </c>
      <c r="G367" s="35" t="s">
        <v>684</v>
      </c>
      <c r="H367" s="35" t="s">
        <v>162</v>
      </c>
      <c r="I367" s="35"/>
      <c r="J367" s="56">
        <v>46231.7638888889</v>
      </c>
      <c r="K367" s="35" t="s">
        <v>1001</v>
      </c>
      <c r="L367" s="35" t="s">
        <v>1247</v>
      </c>
      <c r="M367" s="35" t="s">
        <v>162</v>
      </c>
      <c r="N367" s="35" t="s">
        <v>1268</v>
      </c>
      <c r="O367" s="35">
        <v>157.79</v>
      </c>
      <c r="P367" s="122" t="s">
        <v>1887</v>
      </c>
      <c r="Q367" s="35" t="s">
        <v>1213</v>
      </c>
      <c r="R367" s="35">
        <v>4666</v>
      </c>
      <c r="S367" s="35"/>
      <c r="T367" s="35"/>
      <c r="U367" s="35"/>
      <c r="V367" s="35"/>
      <c r="W367" s="35"/>
    </row>
    <row r="368" ht="31.5" spans="1:23">
      <c r="A368" s="35">
        <v>52</v>
      </c>
      <c r="B368" s="36">
        <v>46230</v>
      </c>
      <c r="C368" s="35" t="s">
        <v>1888</v>
      </c>
      <c r="D368" s="35">
        <v>13757434379</v>
      </c>
      <c r="E368" s="35" t="s">
        <v>725</v>
      </c>
      <c r="F368" s="35" t="s">
        <v>169</v>
      </c>
      <c r="G368" s="35" t="s">
        <v>1236</v>
      </c>
      <c r="H368" s="35" t="s">
        <v>162</v>
      </c>
      <c r="I368" s="35"/>
      <c r="J368" s="56">
        <v>46235.6666666667</v>
      </c>
      <c r="K368" s="35" t="s">
        <v>1827</v>
      </c>
      <c r="L368" s="35" t="s">
        <v>1247</v>
      </c>
      <c r="M368" s="35"/>
      <c r="N368" s="35" t="s">
        <v>1268</v>
      </c>
      <c r="O368" s="35">
        <v>105.18</v>
      </c>
      <c r="P368" s="122" t="s">
        <v>1889</v>
      </c>
      <c r="Q368" s="35"/>
      <c r="R368" s="35"/>
      <c r="S368" s="35"/>
      <c r="T368" s="35"/>
      <c r="U368" s="35"/>
      <c r="V368" s="35"/>
      <c r="W368" s="35"/>
    </row>
    <row r="369" ht="47.25" spans="1:23">
      <c r="A369" s="35">
        <v>53</v>
      </c>
      <c r="B369" s="36">
        <v>46230</v>
      </c>
      <c r="C369" s="35" t="s">
        <v>1890</v>
      </c>
      <c r="D369" s="35">
        <v>15988655208</v>
      </c>
      <c r="E369" s="35" t="s">
        <v>195</v>
      </c>
      <c r="F369" s="35" t="s">
        <v>189</v>
      </c>
      <c r="G369" s="35" t="s">
        <v>1229</v>
      </c>
      <c r="H369" s="35" t="s">
        <v>162</v>
      </c>
      <c r="I369" s="35"/>
      <c r="J369" s="56">
        <v>46231.4930555556</v>
      </c>
      <c r="K369" s="35" t="s">
        <v>1891</v>
      </c>
      <c r="L369" s="35" t="s">
        <v>684</v>
      </c>
      <c r="M369" s="35"/>
      <c r="N369" s="35" t="s">
        <v>1211</v>
      </c>
      <c r="O369" s="35">
        <v>189.99</v>
      </c>
      <c r="P369" s="122" t="s">
        <v>1892</v>
      </c>
      <c r="Q369" s="35"/>
      <c r="R369" s="35"/>
      <c r="S369" s="35"/>
      <c r="T369" s="35"/>
      <c r="U369" s="35"/>
      <c r="V369" s="35"/>
      <c r="W369" s="35"/>
    </row>
    <row r="370" spans="1:23">
      <c r="A370" s="35">
        <v>54</v>
      </c>
      <c r="B370" s="36">
        <v>46232</v>
      </c>
      <c r="C370" s="35" t="s">
        <v>1893</v>
      </c>
      <c r="D370" s="35">
        <v>13566053556</v>
      </c>
      <c r="E370" s="35" t="s">
        <v>1894</v>
      </c>
      <c r="F370" s="35" t="s">
        <v>588</v>
      </c>
      <c r="G370" s="35" t="s">
        <v>1895</v>
      </c>
      <c r="H370" s="35" t="s">
        <v>162</v>
      </c>
      <c r="I370" s="35" t="s">
        <v>1896</v>
      </c>
      <c r="J370" s="56">
        <v>46235.5833333333</v>
      </c>
      <c r="K370" s="35" t="s">
        <v>296</v>
      </c>
      <c r="L370" s="35" t="s">
        <v>684</v>
      </c>
      <c r="M370" s="35" t="s">
        <v>162</v>
      </c>
      <c r="N370" s="35" t="s">
        <v>468</v>
      </c>
      <c r="O370" s="35">
        <v>379.05</v>
      </c>
      <c r="P370" s="121" t="s">
        <v>1897</v>
      </c>
      <c r="Q370" s="35" t="s">
        <v>1898</v>
      </c>
      <c r="R370" s="35">
        <v>21999</v>
      </c>
      <c r="S370" s="35"/>
      <c r="T370" s="35"/>
      <c r="U370" s="35"/>
      <c r="V370" s="35"/>
      <c r="W370" s="35"/>
    </row>
    <row r="371" spans="1:23">
      <c r="A371" s="35">
        <v>55</v>
      </c>
      <c r="B371" s="36">
        <v>46232</v>
      </c>
      <c r="C371" s="35" t="s">
        <v>1899</v>
      </c>
      <c r="D371" s="35">
        <v>15738867653</v>
      </c>
      <c r="E371" s="35" t="s">
        <v>1900</v>
      </c>
      <c r="F371" s="35" t="s">
        <v>169</v>
      </c>
      <c r="G371" s="35" t="s">
        <v>684</v>
      </c>
      <c r="H371" s="35" t="s">
        <v>162</v>
      </c>
      <c r="I371" s="35"/>
      <c r="J371" s="56">
        <v>46233.5</v>
      </c>
      <c r="K371" s="35" t="s">
        <v>296</v>
      </c>
      <c r="L371" s="35" t="s">
        <v>684</v>
      </c>
      <c r="M371" s="35" t="s">
        <v>162</v>
      </c>
      <c r="N371" s="35" t="s">
        <v>468</v>
      </c>
      <c r="O371" s="74">
        <v>372.4</v>
      </c>
      <c r="P371" s="121" t="s">
        <v>1901</v>
      </c>
      <c r="Q371" s="35" t="s">
        <v>1902</v>
      </c>
      <c r="R371" s="35">
        <v>13888</v>
      </c>
      <c r="S371" s="35"/>
      <c r="T371" s="35"/>
      <c r="U371" s="35"/>
      <c r="V371" s="35"/>
      <c r="W371" s="35"/>
    </row>
    <row r="372" spans="1:23">
      <c r="A372" s="35">
        <v>56</v>
      </c>
      <c r="B372" s="36">
        <v>46232</v>
      </c>
      <c r="C372" s="35" t="s">
        <v>1903</v>
      </c>
      <c r="D372" s="35">
        <v>13096389390</v>
      </c>
      <c r="E372" s="35" t="s">
        <v>584</v>
      </c>
      <c r="F372" s="35" t="s">
        <v>189</v>
      </c>
      <c r="G372" s="35" t="s">
        <v>1895</v>
      </c>
      <c r="H372" s="35" t="s">
        <v>162</v>
      </c>
      <c r="I372" s="35"/>
      <c r="J372" s="56">
        <v>46232.75</v>
      </c>
      <c r="K372" s="35" t="s">
        <v>584</v>
      </c>
      <c r="L372" s="35" t="s">
        <v>979</v>
      </c>
      <c r="M372" s="35"/>
      <c r="N372" s="35" t="s">
        <v>285</v>
      </c>
      <c r="O372" s="35">
        <v>93</v>
      </c>
      <c r="P372" s="121" t="s">
        <v>1904</v>
      </c>
      <c r="Q372" s="35"/>
      <c r="R372" s="35"/>
      <c r="S372" s="35"/>
      <c r="T372" s="35"/>
      <c r="U372" s="35"/>
      <c r="V372" s="35"/>
      <c r="W372" s="35"/>
    </row>
    <row r="373" spans="1:23">
      <c r="A373" s="35">
        <v>57</v>
      </c>
      <c r="B373" s="36">
        <v>46232</v>
      </c>
      <c r="C373" s="35" t="s">
        <v>1905</v>
      </c>
      <c r="D373" s="35">
        <v>18058668284</v>
      </c>
      <c r="E373" s="35" t="s">
        <v>584</v>
      </c>
      <c r="F373" s="35" t="s">
        <v>169</v>
      </c>
      <c r="G373" s="35"/>
      <c r="H373" s="35" t="s">
        <v>200</v>
      </c>
      <c r="I373" s="35"/>
      <c r="J373" s="56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</row>
    <row r="374" spans="1:23">
      <c r="A374" s="35">
        <v>58</v>
      </c>
      <c r="B374" s="36">
        <v>46233</v>
      </c>
      <c r="C374" s="35" t="s">
        <v>1906</v>
      </c>
      <c r="D374" s="35">
        <v>15968069220</v>
      </c>
      <c r="E374" s="35" t="s">
        <v>159</v>
      </c>
      <c r="F374" s="35" t="s">
        <v>189</v>
      </c>
      <c r="G374" s="35" t="s">
        <v>1209</v>
      </c>
      <c r="H374" s="35" t="s">
        <v>162</v>
      </c>
      <c r="I374" s="35"/>
      <c r="J374" s="56">
        <v>46233.5625</v>
      </c>
      <c r="K374" s="35" t="s">
        <v>296</v>
      </c>
      <c r="L374" s="35" t="s">
        <v>1209</v>
      </c>
      <c r="M374" s="35"/>
      <c r="N374" s="35" t="s">
        <v>468</v>
      </c>
      <c r="O374" s="35">
        <v>379.05</v>
      </c>
      <c r="P374" s="121" t="s">
        <v>1907</v>
      </c>
      <c r="Q374" s="35"/>
      <c r="R374" s="35"/>
      <c r="S374" s="35"/>
      <c r="T374" s="35"/>
      <c r="U374" s="35"/>
      <c r="V374" s="35"/>
      <c r="W374" s="35"/>
    </row>
    <row r="375" spans="1:23">
      <c r="A375" s="35">
        <v>59</v>
      </c>
      <c r="B375" s="36">
        <v>46233</v>
      </c>
      <c r="C375" s="35" t="s">
        <v>1908</v>
      </c>
      <c r="D375" s="35"/>
      <c r="E375" s="35" t="s">
        <v>725</v>
      </c>
      <c r="F375" s="35" t="s">
        <v>189</v>
      </c>
      <c r="G375" s="35"/>
      <c r="H375" s="35" t="s">
        <v>200</v>
      </c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</row>
    <row r="376" s="20" customFormat="1" spans="1:23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</row>
    <row r="377" spans="1:23">
      <c r="A377" s="35">
        <v>1</v>
      </c>
      <c r="B377" s="36">
        <v>46235</v>
      </c>
      <c r="C377" s="35" t="s">
        <v>246</v>
      </c>
      <c r="D377" s="35">
        <v>13123885161</v>
      </c>
      <c r="E377" s="35" t="s">
        <v>725</v>
      </c>
      <c r="F377" s="35" t="s">
        <v>189</v>
      </c>
      <c r="G377" s="35" t="s">
        <v>1895</v>
      </c>
      <c r="H377" s="35" t="s">
        <v>162</v>
      </c>
      <c r="I377" s="35"/>
      <c r="J377" s="56">
        <v>46238.5138888889</v>
      </c>
      <c r="K377" s="35" t="s">
        <v>1827</v>
      </c>
      <c r="L377" s="35" t="s">
        <v>1209</v>
      </c>
      <c r="M377" s="35"/>
      <c r="N377" s="35" t="s">
        <v>1268</v>
      </c>
      <c r="O377" s="35">
        <v>55.36</v>
      </c>
      <c r="P377" s="121" t="s">
        <v>1909</v>
      </c>
      <c r="Q377" s="35"/>
      <c r="R377" s="35"/>
      <c r="S377" s="35"/>
      <c r="T377" s="35"/>
      <c r="U377" s="35"/>
      <c r="V377" s="35"/>
      <c r="W377" s="35"/>
    </row>
    <row r="378" spans="1:23">
      <c r="A378" s="35">
        <v>2</v>
      </c>
      <c r="B378" s="36">
        <v>46235</v>
      </c>
      <c r="C378" s="35" t="s">
        <v>809</v>
      </c>
      <c r="D378" s="35">
        <v>18257595679</v>
      </c>
      <c r="E378" s="35" t="s">
        <v>725</v>
      </c>
      <c r="F378" s="35" t="s">
        <v>169</v>
      </c>
      <c r="G378" s="35" t="s">
        <v>1236</v>
      </c>
      <c r="H378" s="35" t="s">
        <v>162</v>
      </c>
      <c r="I378" s="35" t="s">
        <v>366</v>
      </c>
      <c r="J378" s="56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</row>
    <row r="379" ht="31.5" spans="1:23">
      <c r="A379" s="35">
        <v>3</v>
      </c>
      <c r="B379" s="36">
        <v>46236</v>
      </c>
      <c r="C379" s="35" t="s">
        <v>316</v>
      </c>
      <c r="D379" s="35">
        <v>15142846320</v>
      </c>
      <c r="E379" s="35" t="s">
        <v>195</v>
      </c>
      <c r="F379" s="35" t="s">
        <v>169</v>
      </c>
      <c r="G379" s="35" t="s">
        <v>1895</v>
      </c>
      <c r="H379" s="35" t="s">
        <v>162</v>
      </c>
      <c r="I379" s="35"/>
      <c r="J379" s="56">
        <v>46237.8194444444</v>
      </c>
      <c r="K379" s="35" t="s">
        <v>171</v>
      </c>
      <c r="L379" s="35" t="s">
        <v>1910</v>
      </c>
      <c r="M379" s="35"/>
      <c r="N379" s="35" t="s">
        <v>1268</v>
      </c>
      <c r="O379" s="35">
        <v>121.59</v>
      </c>
      <c r="P379" s="122" t="s">
        <v>1911</v>
      </c>
      <c r="Q379" s="35"/>
      <c r="R379" s="35"/>
      <c r="S379" s="35"/>
      <c r="T379" s="35"/>
      <c r="U379" s="35"/>
      <c r="V379" s="35"/>
      <c r="W379" s="35"/>
    </row>
    <row r="380" spans="1:23">
      <c r="A380" s="35">
        <v>4</v>
      </c>
      <c r="B380" s="36">
        <v>46236</v>
      </c>
      <c r="C380" s="35" t="s">
        <v>1912</v>
      </c>
      <c r="D380" s="35">
        <v>18859396670</v>
      </c>
      <c r="E380" s="35" t="s">
        <v>725</v>
      </c>
      <c r="F380" s="35" t="s">
        <v>169</v>
      </c>
      <c r="G380" s="35"/>
      <c r="H380" s="35" t="s">
        <v>200</v>
      </c>
      <c r="I380" s="35" t="s">
        <v>722</v>
      </c>
      <c r="J380" s="56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</row>
    <row r="381" spans="1:23">
      <c r="A381" s="35">
        <v>5</v>
      </c>
      <c r="B381" s="36">
        <v>46236</v>
      </c>
      <c r="C381" s="35" t="s">
        <v>1394</v>
      </c>
      <c r="D381" s="35"/>
      <c r="E381" s="35" t="s">
        <v>1913</v>
      </c>
      <c r="F381" s="35" t="s">
        <v>189</v>
      </c>
      <c r="G381" s="35"/>
      <c r="H381" s="35" t="s">
        <v>200</v>
      </c>
      <c r="I381" s="35" t="s">
        <v>1818</v>
      </c>
      <c r="J381" s="56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</row>
    <row r="382" spans="1:23">
      <c r="A382" s="35">
        <v>6</v>
      </c>
      <c r="B382" s="36">
        <v>46236</v>
      </c>
      <c r="C382" s="35" t="s">
        <v>1400</v>
      </c>
      <c r="D382" s="35">
        <v>18358219084</v>
      </c>
      <c r="E382" s="35" t="s">
        <v>1900</v>
      </c>
      <c r="F382" s="35" t="s">
        <v>189</v>
      </c>
      <c r="G382" s="35"/>
      <c r="H382" s="35" t="s">
        <v>200</v>
      </c>
      <c r="I382" s="35" t="s">
        <v>1914</v>
      </c>
      <c r="J382" s="56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</row>
    <row r="383" spans="1:23">
      <c r="A383" s="35">
        <v>7</v>
      </c>
      <c r="B383" s="36">
        <v>46237</v>
      </c>
      <c r="C383" s="35" t="s">
        <v>1915</v>
      </c>
      <c r="D383" s="35">
        <v>15869593276</v>
      </c>
      <c r="E383" s="35" t="s">
        <v>754</v>
      </c>
      <c r="F383" s="35" t="s">
        <v>189</v>
      </c>
      <c r="G383" s="35" t="s">
        <v>1895</v>
      </c>
      <c r="H383" s="35" t="s">
        <v>162</v>
      </c>
      <c r="I383" s="35"/>
      <c r="J383" s="56">
        <v>46239.75</v>
      </c>
      <c r="K383" s="35" t="s">
        <v>296</v>
      </c>
      <c r="L383" s="35" t="s">
        <v>1229</v>
      </c>
      <c r="M383" s="35" t="s">
        <v>162</v>
      </c>
      <c r="N383" s="35" t="s">
        <v>531</v>
      </c>
      <c r="O383" s="35">
        <v>246.05</v>
      </c>
      <c r="P383" s="121" t="s">
        <v>1916</v>
      </c>
      <c r="Q383" s="35" t="s">
        <v>617</v>
      </c>
      <c r="R383" s="35">
        <v>12270</v>
      </c>
      <c r="S383" s="35"/>
      <c r="T383" s="35"/>
      <c r="U383" s="35"/>
      <c r="V383" s="35"/>
      <c r="W383" s="35"/>
    </row>
    <row r="384" spans="1:23">
      <c r="A384" s="35">
        <v>8</v>
      </c>
      <c r="B384" s="36">
        <v>46237</v>
      </c>
      <c r="C384" s="35" t="s">
        <v>1917</v>
      </c>
      <c r="D384" s="35">
        <v>13777277700</v>
      </c>
      <c r="E384" s="35" t="s">
        <v>1436</v>
      </c>
      <c r="F384" s="35" t="s">
        <v>189</v>
      </c>
      <c r="G384" s="35" t="s">
        <v>1209</v>
      </c>
      <c r="H384" s="35" t="s">
        <v>162</v>
      </c>
      <c r="I384" s="35"/>
      <c r="J384" s="56">
        <v>46241.8125</v>
      </c>
      <c r="K384" s="35" t="s">
        <v>1827</v>
      </c>
      <c r="L384" s="35" t="s">
        <v>1209</v>
      </c>
      <c r="M384" s="35"/>
      <c r="N384" s="35" t="s">
        <v>1189</v>
      </c>
      <c r="O384" s="35">
        <v>73</v>
      </c>
      <c r="P384" s="121" t="s">
        <v>1918</v>
      </c>
      <c r="Q384" s="35"/>
      <c r="R384" s="35"/>
      <c r="S384" s="35"/>
      <c r="T384" s="35"/>
      <c r="U384" s="35"/>
      <c r="V384" s="35"/>
      <c r="W384" s="35"/>
    </row>
    <row r="385" spans="1:23">
      <c r="A385" s="35">
        <v>9</v>
      </c>
      <c r="B385" s="36">
        <v>46238</v>
      </c>
      <c r="C385" s="35" t="s">
        <v>1919</v>
      </c>
      <c r="D385" s="35">
        <v>19730707735</v>
      </c>
      <c r="E385" s="35" t="s">
        <v>581</v>
      </c>
      <c r="F385" s="35" t="s">
        <v>169</v>
      </c>
      <c r="G385" s="35" t="s">
        <v>1229</v>
      </c>
      <c r="H385" s="35" t="s">
        <v>162</v>
      </c>
      <c r="I385" s="35" t="s">
        <v>1920</v>
      </c>
      <c r="J385" s="56">
        <v>46239.625</v>
      </c>
      <c r="K385" s="35" t="s">
        <v>1921</v>
      </c>
      <c r="L385" s="35" t="s">
        <v>1229</v>
      </c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</row>
    <row r="386" spans="1:23">
      <c r="A386" s="35">
        <v>10</v>
      </c>
      <c r="B386" s="36">
        <v>46238</v>
      </c>
      <c r="C386" s="35" t="s">
        <v>1400</v>
      </c>
      <c r="D386" s="35">
        <v>13685892525</v>
      </c>
      <c r="E386" s="35" t="s">
        <v>584</v>
      </c>
      <c r="F386" s="35" t="s">
        <v>169</v>
      </c>
      <c r="G386" s="35" t="s">
        <v>1209</v>
      </c>
      <c r="H386" s="35" t="s">
        <v>162</v>
      </c>
      <c r="I386" s="35"/>
      <c r="J386" s="56">
        <v>46247.8194444444</v>
      </c>
      <c r="K386" s="35" t="s">
        <v>1872</v>
      </c>
      <c r="L386" s="35" t="s">
        <v>1218</v>
      </c>
      <c r="M386" s="35"/>
      <c r="N386" s="35" t="s">
        <v>312</v>
      </c>
      <c r="O386" s="35">
        <v>24.51</v>
      </c>
      <c r="P386" s="121" t="s">
        <v>1922</v>
      </c>
      <c r="Q386" s="35" t="s">
        <v>1923</v>
      </c>
      <c r="R386" s="35"/>
      <c r="S386" s="35"/>
      <c r="T386" s="35"/>
      <c r="U386" s="35"/>
      <c r="V386" s="35"/>
      <c r="W386" s="35"/>
    </row>
    <row r="387" ht="31.5" spans="1:23">
      <c r="A387" s="35">
        <v>11</v>
      </c>
      <c r="B387" s="36">
        <v>46238</v>
      </c>
      <c r="C387" s="35" t="s">
        <v>1924</v>
      </c>
      <c r="D387" s="35">
        <v>15245898394</v>
      </c>
      <c r="E387" s="35" t="s">
        <v>1925</v>
      </c>
      <c r="F387" s="35" t="s">
        <v>169</v>
      </c>
      <c r="G387" s="35" t="s">
        <v>248</v>
      </c>
      <c r="H387" s="35" t="s">
        <v>162</v>
      </c>
      <c r="I387" s="35"/>
      <c r="J387" s="56">
        <v>46239.75</v>
      </c>
      <c r="K387" s="35" t="s">
        <v>1926</v>
      </c>
      <c r="L387" s="35" t="s">
        <v>979</v>
      </c>
      <c r="M387" s="35"/>
      <c r="N387" s="35" t="s">
        <v>312</v>
      </c>
      <c r="O387" s="35">
        <v>49.01</v>
      </c>
      <c r="P387" s="122" t="s">
        <v>1927</v>
      </c>
      <c r="Q387" s="35"/>
      <c r="R387" s="35"/>
      <c r="S387" s="35"/>
      <c r="T387" s="35"/>
      <c r="U387" s="35"/>
      <c r="V387" s="35"/>
      <c r="W387" s="35"/>
    </row>
    <row r="388" spans="1:23">
      <c r="A388" s="35">
        <v>12</v>
      </c>
      <c r="B388" s="36">
        <v>46239</v>
      </c>
      <c r="C388" s="35" t="s">
        <v>1928</v>
      </c>
      <c r="D388" s="35">
        <v>19858299954</v>
      </c>
      <c r="E388" s="35" t="s">
        <v>693</v>
      </c>
      <c r="F388" s="35" t="s">
        <v>189</v>
      </c>
      <c r="G388" s="35" t="s">
        <v>1895</v>
      </c>
      <c r="H388" s="35" t="s">
        <v>162</v>
      </c>
      <c r="I388" s="35" t="s">
        <v>1920</v>
      </c>
      <c r="J388" s="56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</row>
    <row r="389" spans="1:23">
      <c r="A389" s="35">
        <v>13</v>
      </c>
      <c r="B389" s="36">
        <v>46239</v>
      </c>
      <c r="C389" s="35" t="s">
        <v>1929</v>
      </c>
      <c r="D389" s="35">
        <v>18867720235</v>
      </c>
      <c r="E389" s="35" t="s">
        <v>693</v>
      </c>
      <c r="F389" s="35" t="s">
        <v>189</v>
      </c>
      <c r="G389" s="35" t="s">
        <v>1895</v>
      </c>
      <c r="H389" s="35" t="s">
        <v>162</v>
      </c>
      <c r="I389" s="35" t="s">
        <v>1920</v>
      </c>
      <c r="J389" s="56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</row>
    <row r="390" spans="1:23">
      <c r="A390" s="35">
        <v>14</v>
      </c>
      <c r="B390" s="36">
        <v>46239</v>
      </c>
      <c r="C390" s="35" t="s">
        <v>1930</v>
      </c>
      <c r="D390" s="35">
        <v>13605746609</v>
      </c>
      <c r="E390" s="35" t="s">
        <v>584</v>
      </c>
      <c r="F390" s="35" t="s">
        <v>169</v>
      </c>
      <c r="G390" s="35"/>
      <c r="H390" s="35" t="s">
        <v>200</v>
      </c>
      <c r="I390" s="35"/>
      <c r="J390" s="56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</row>
    <row r="391" spans="1:23">
      <c r="A391" s="35">
        <v>15</v>
      </c>
      <c r="B391" s="36">
        <v>46242</v>
      </c>
      <c r="C391" s="35" t="s">
        <v>1931</v>
      </c>
      <c r="D391" s="35">
        <v>15810660397</v>
      </c>
      <c r="E391" s="35" t="s">
        <v>315</v>
      </c>
      <c r="F391" s="35" t="s">
        <v>189</v>
      </c>
      <c r="G391" s="35" t="s">
        <v>1236</v>
      </c>
      <c r="H391" s="35" t="s">
        <v>200</v>
      </c>
      <c r="I391" s="35" t="s">
        <v>1036</v>
      </c>
      <c r="J391" s="56">
        <v>46243.5833333333</v>
      </c>
      <c r="K391" s="35" t="s">
        <v>196</v>
      </c>
      <c r="L391" s="35" t="s">
        <v>1209</v>
      </c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</row>
    <row r="392" spans="1:23">
      <c r="A392" s="35">
        <v>16</v>
      </c>
      <c r="B392" s="36">
        <v>46242</v>
      </c>
      <c r="C392" s="35" t="s">
        <v>1932</v>
      </c>
      <c r="D392" s="35">
        <v>19558210726</v>
      </c>
      <c r="E392" s="35" t="s">
        <v>1933</v>
      </c>
      <c r="F392" s="35" t="s">
        <v>169</v>
      </c>
      <c r="G392" s="35" t="s">
        <v>1895</v>
      </c>
      <c r="H392" s="35" t="s">
        <v>162</v>
      </c>
      <c r="I392" s="35"/>
      <c r="J392" s="56">
        <v>46244.8125</v>
      </c>
      <c r="K392" s="35" t="s">
        <v>657</v>
      </c>
      <c r="L392" s="35" t="s">
        <v>1934</v>
      </c>
      <c r="M392" s="35"/>
      <c r="N392" s="35" t="s">
        <v>429</v>
      </c>
      <c r="O392" s="35">
        <v>372.4</v>
      </c>
      <c r="P392" s="121" t="s">
        <v>1935</v>
      </c>
      <c r="Q392" s="35"/>
      <c r="R392" s="35"/>
      <c r="S392" s="35"/>
      <c r="T392" s="35"/>
      <c r="U392" s="35"/>
      <c r="V392" s="35"/>
      <c r="W392" s="35"/>
    </row>
    <row r="393" spans="1:23">
      <c r="A393" s="35">
        <v>17</v>
      </c>
      <c r="B393" s="36">
        <v>46242</v>
      </c>
      <c r="C393" s="35" t="s">
        <v>1936</v>
      </c>
      <c r="D393" s="35"/>
      <c r="E393" s="35" t="s">
        <v>584</v>
      </c>
      <c r="F393" s="35" t="s">
        <v>169</v>
      </c>
      <c r="G393" s="35"/>
      <c r="H393" s="35" t="s">
        <v>200</v>
      </c>
      <c r="I393" s="35"/>
      <c r="J393" s="56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</row>
    <row r="394" spans="1:23">
      <c r="A394" s="35">
        <v>18</v>
      </c>
      <c r="B394" s="36">
        <v>46243</v>
      </c>
      <c r="C394" s="35" t="s">
        <v>1937</v>
      </c>
      <c r="D394" s="35">
        <v>15088828921</v>
      </c>
      <c r="E394" s="35" t="s">
        <v>395</v>
      </c>
      <c r="F394" s="35" t="s">
        <v>169</v>
      </c>
      <c r="G394" s="35" t="s">
        <v>684</v>
      </c>
      <c r="H394" s="35" t="s">
        <v>200</v>
      </c>
      <c r="I394" s="35" t="s">
        <v>1938</v>
      </c>
      <c r="J394" s="56">
        <v>46244.8194444444</v>
      </c>
      <c r="K394" s="35" t="s">
        <v>171</v>
      </c>
      <c r="L394" s="35" t="s">
        <v>1910</v>
      </c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</row>
    <row r="395" spans="1:23">
      <c r="A395" s="35">
        <v>19</v>
      </c>
      <c r="B395" s="36">
        <v>46243</v>
      </c>
      <c r="C395" s="35" t="s">
        <v>1939</v>
      </c>
      <c r="D395" s="35">
        <v>17855822374</v>
      </c>
      <c r="E395" s="35" t="s">
        <v>1662</v>
      </c>
      <c r="F395" s="35" t="s">
        <v>169</v>
      </c>
      <c r="G395" s="35"/>
      <c r="H395" s="35" t="s">
        <v>200</v>
      </c>
      <c r="I395" s="35" t="s">
        <v>1940</v>
      </c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</row>
    <row r="396" spans="1:23">
      <c r="A396" s="35">
        <v>20</v>
      </c>
      <c r="B396" s="36">
        <v>46243</v>
      </c>
      <c r="C396" s="35" t="s">
        <v>246</v>
      </c>
      <c r="D396" s="35">
        <v>18767649283</v>
      </c>
      <c r="E396" s="35" t="s">
        <v>725</v>
      </c>
      <c r="F396" s="35" t="s">
        <v>189</v>
      </c>
      <c r="G396" s="35"/>
      <c r="H396" s="35" t="s">
        <v>200</v>
      </c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</row>
    <row r="397" spans="1:23">
      <c r="A397" s="35">
        <v>21</v>
      </c>
      <c r="B397" s="36">
        <v>46244</v>
      </c>
      <c r="C397" s="35" t="s">
        <v>1941</v>
      </c>
      <c r="D397" s="35">
        <v>18268616266</v>
      </c>
      <c r="E397" s="35" t="s">
        <v>1942</v>
      </c>
      <c r="F397" s="35" t="s">
        <v>169</v>
      </c>
      <c r="G397" s="35" t="s">
        <v>1236</v>
      </c>
      <c r="H397" s="35" t="s">
        <v>162</v>
      </c>
      <c r="I397" s="35" t="s">
        <v>1943</v>
      </c>
      <c r="J397" s="56">
        <v>46247.8194444444</v>
      </c>
      <c r="K397" s="35" t="s">
        <v>1872</v>
      </c>
      <c r="L397" s="35" t="s">
        <v>1218</v>
      </c>
      <c r="M397" s="35"/>
      <c r="N397" s="35" t="s">
        <v>312</v>
      </c>
      <c r="O397" s="35">
        <v>22.3</v>
      </c>
      <c r="P397" s="121" t="s">
        <v>1944</v>
      </c>
      <c r="Q397" s="35" t="s">
        <v>1923</v>
      </c>
      <c r="R397" s="35"/>
      <c r="S397" s="35"/>
      <c r="T397" s="35"/>
      <c r="U397" s="35"/>
      <c r="V397" s="35"/>
      <c r="W397" s="35"/>
    </row>
    <row r="398" spans="1:23">
      <c r="A398" s="35">
        <v>22</v>
      </c>
      <c r="B398" s="36">
        <v>46244</v>
      </c>
      <c r="C398" s="35" t="s">
        <v>317</v>
      </c>
      <c r="D398" s="35">
        <v>18003664235</v>
      </c>
      <c r="E398" s="35" t="s">
        <v>1945</v>
      </c>
      <c r="F398" s="35" t="s">
        <v>169</v>
      </c>
      <c r="G398" s="35" t="s">
        <v>1895</v>
      </c>
      <c r="H398" s="35" t="s">
        <v>162</v>
      </c>
      <c r="I398" s="35"/>
      <c r="J398" s="56">
        <v>46245.7291666667</v>
      </c>
      <c r="K398" s="35" t="s">
        <v>1127</v>
      </c>
      <c r="L398" s="35" t="s">
        <v>843</v>
      </c>
      <c r="M398" s="35"/>
      <c r="N398" s="35" t="s">
        <v>1946</v>
      </c>
      <c r="O398" s="35">
        <v>307.42</v>
      </c>
      <c r="P398" s="121" t="s">
        <v>1947</v>
      </c>
      <c r="Q398" s="35"/>
      <c r="R398" s="35"/>
      <c r="S398" s="35"/>
      <c r="T398" s="35"/>
      <c r="U398" s="35"/>
      <c r="V398" s="35"/>
      <c r="W398" s="35"/>
    </row>
    <row r="399" spans="1:23">
      <c r="A399" s="35">
        <v>23</v>
      </c>
      <c r="B399" s="36">
        <v>46244</v>
      </c>
      <c r="C399" s="35" t="s">
        <v>1948</v>
      </c>
      <c r="D399" s="35">
        <v>13347486789</v>
      </c>
      <c r="E399" s="35" t="s">
        <v>725</v>
      </c>
      <c r="F399" s="35" t="s">
        <v>169</v>
      </c>
      <c r="G399" s="35" t="s">
        <v>248</v>
      </c>
      <c r="H399" s="35" t="s">
        <v>162</v>
      </c>
      <c r="I399" s="35"/>
      <c r="J399" s="56">
        <v>46245.46875</v>
      </c>
      <c r="K399" s="35" t="s">
        <v>171</v>
      </c>
      <c r="L399" s="35" t="s">
        <v>979</v>
      </c>
      <c r="M399" s="35"/>
      <c r="N399" s="35" t="s">
        <v>1949</v>
      </c>
      <c r="O399" s="35">
        <v>182.4</v>
      </c>
      <c r="P399" s="121" t="s">
        <v>1950</v>
      </c>
      <c r="Q399" s="35" t="s">
        <v>1923</v>
      </c>
      <c r="R399" s="35"/>
      <c r="S399" s="35"/>
      <c r="T399" s="35"/>
      <c r="U399" s="35"/>
      <c r="V399" s="35"/>
      <c r="W399" s="35"/>
    </row>
    <row r="400" spans="1:23">
      <c r="A400" s="35">
        <v>24</v>
      </c>
      <c r="B400" s="36">
        <v>46244</v>
      </c>
      <c r="C400" s="35" t="s">
        <v>1951</v>
      </c>
      <c r="D400" s="35">
        <v>13123868115</v>
      </c>
      <c r="E400" s="35" t="s">
        <v>1952</v>
      </c>
      <c r="F400" s="35" t="s">
        <v>169</v>
      </c>
      <c r="G400" s="35" t="s">
        <v>1895</v>
      </c>
      <c r="H400" s="35" t="s">
        <v>162</v>
      </c>
      <c r="I400" s="35"/>
      <c r="J400" s="56">
        <v>46245.4930555556</v>
      </c>
      <c r="K400" s="35" t="s">
        <v>1891</v>
      </c>
      <c r="L400" s="35" t="s">
        <v>684</v>
      </c>
      <c r="M400" s="35"/>
      <c r="N400" s="35" t="s">
        <v>1268</v>
      </c>
      <c r="O400" s="35">
        <v>105.19</v>
      </c>
      <c r="P400" s="121" t="s">
        <v>1953</v>
      </c>
      <c r="Q400" s="35" t="s">
        <v>1164</v>
      </c>
      <c r="R400" s="35"/>
      <c r="S400" s="35"/>
      <c r="T400" s="35"/>
      <c r="U400" s="35"/>
      <c r="V400" s="35"/>
      <c r="W400" s="35"/>
    </row>
    <row r="401" spans="1:23">
      <c r="A401" s="35">
        <v>25</v>
      </c>
      <c r="B401" s="36">
        <v>46244</v>
      </c>
      <c r="C401" s="35" t="s">
        <v>216</v>
      </c>
      <c r="D401" s="35">
        <v>18342615176</v>
      </c>
      <c r="E401" s="35" t="s">
        <v>195</v>
      </c>
      <c r="F401" s="35" t="s">
        <v>169</v>
      </c>
      <c r="G401" s="35" t="s">
        <v>1236</v>
      </c>
      <c r="H401" s="35" t="s">
        <v>162</v>
      </c>
      <c r="I401" s="35" t="s">
        <v>1954</v>
      </c>
      <c r="J401" s="56">
        <v>46245.4930555556</v>
      </c>
      <c r="K401" s="35" t="s">
        <v>1891</v>
      </c>
      <c r="L401" s="35" t="s">
        <v>684</v>
      </c>
      <c r="M401" s="35"/>
      <c r="N401" s="35" t="s">
        <v>1268</v>
      </c>
      <c r="O401" s="35">
        <v>52.59</v>
      </c>
      <c r="P401" s="121" t="s">
        <v>1955</v>
      </c>
      <c r="Q401" s="35" t="s">
        <v>1923</v>
      </c>
      <c r="R401" s="35"/>
      <c r="S401" s="35"/>
      <c r="T401" s="35"/>
      <c r="U401" s="35"/>
      <c r="V401" s="35"/>
      <c r="W401" s="35"/>
    </row>
    <row r="402" spans="1:23">
      <c r="A402" s="35">
        <v>26</v>
      </c>
      <c r="B402" s="36">
        <v>46245</v>
      </c>
      <c r="C402" s="35" t="s">
        <v>1956</v>
      </c>
      <c r="D402" s="35">
        <v>15258332140</v>
      </c>
      <c r="E402" s="35" t="s">
        <v>315</v>
      </c>
      <c r="F402" s="35" t="s">
        <v>169</v>
      </c>
      <c r="G402" s="35"/>
      <c r="H402" s="35" t="s">
        <v>200</v>
      </c>
      <c r="I402" s="35"/>
      <c r="J402" s="56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</row>
    <row r="403" ht="31.5" spans="1:23">
      <c r="A403" s="35">
        <v>27</v>
      </c>
      <c r="B403" s="36">
        <v>46245</v>
      </c>
      <c r="C403" s="35" t="s">
        <v>1957</v>
      </c>
      <c r="D403" s="35">
        <v>18201522661</v>
      </c>
      <c r="E403" s="35" t="s">
        <v>159</v>
      </c>
      <c r="F403" s="35" t="s">
        <v>169</v>
      </c>
      <c r="G403" s="35" t="s">
        <v>248</v>
      </c>
      <c r="H403" s="35" t="s">
        <v>162</v>
      </c>
      <c r="I403" s="35"/>
      <c r="J403" s="56">
        <v>46245.7986111111</v>
      </c>
      <c r="K403" s="35" t="s">
        <v>272</v>
      </c>
      <c r="L403" s="35" t="s">
        <v>1218</v>
      </c>
      <c r="M403" s="35"/>
      <c r="N403" s="35" t="s">
        <v>1958</v>
      </c>
      <c r="O403" s="35">
        <v>87.4</v>
      </c>
      <c r="P403" s="122" t="s">
        <v>1959</v>
      </c>
      <c r="Q403" s="35"/>
      <c r="R403" s="35"/>
      <c r="S403" s="35"/>
      <c r="T403" s="35"/>
      <c r="U403" s="35"/>
      <c r="V403" s="35"/>
      <c r="W403" s="35"/>
    </row>
    <row r="404" spans="1:23">
      <c r="A404" s="35">
        <v>28</v>
      </c>
      <c r="B404" s="36">
        <v>46245</v>
      </c>
      <c r="C404" s="35" t="s">
        <v>1960</v>
      </c>
      <c r="D404" s="35">
        <v>18911921869</v>
      </c>
      <c r="E404" s="35" t="s">
        <v>1961</v>
      </c>
      <c r="F404" s="35" t="s">
        <v>189</v>
      </c>
      <c r="G404" s="35"/>
      <c r="H404" s="35" t="s">
        <v>200</v>
      </c>
      <c r="I404" s="35"/>
      <c r="J404" s="56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</row>
    <row r="405" spans="1:23">
      <c r="A405" s="35">
        <v>29</v>
      </c>
      <c r="B405" s="36">
        <v>46246</v>
      </c>
      <c r="C405" s="35">
        <v>3</v>
      </c>
      <c r="D405" s="35">
        <v>18968271025</v>
      </c>
      <c r="E405" s="35" t="s">
        <v>693</v>
      </c>
      <c r="F405" s="35" t="s">
        <v>189</v>
      </c>
      <c r="G405" s="35"/>
      <c r="H405" s="35" t="s">
        <v>200</v>
      </c>
      <c r="I405" s="35"/>
      <c r="J405" s="56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</row>
    <row r="406" spans="1:23">
      <c r="A406" s="35">
        <v>30</v>
      </c>
      <c r="B406" s="36">
        <v>46246</v>
      </c>
      <c r="C406" s="35" t="s">
        <v>1962</v>
      </c>
      <c r="D406" s="35"/>
      <c r="E406" s="35" t="s">
        <v>1860</v>
      </c>
      <c r="F406" s="35" t="s">
        <v>189</v>
      </c>
      <c r="G406" s="35" t="s">
        <v>1895</v>
      </c>
      <c r="H406" s="35" t="s">
        <v>200</v>
      </c>
      <c r="I406" s="35" t="s">
        <v>1963</v>
      </c>
      <c r="J406" s="56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</row>
    <row r="407" spans="1:23">
      <c r="A407" s="35">
        <v>31</v>
      </c>
      <c r="B407" s="36">
        <v>46246</v>
      </c>
      <c r="C407" s="35" t="s">
        <v>1964</v>
      </c>
      <c r="D407" s="35">
        <v>17367109910</v>
      </c>
      <c r="E407" s="35" t="s">
        <v>1965</v>
      </c>
      <c r="F407" s="35" t="s">
        <v>189</v>
      </c>
      <c r="G407" s="35" t="s">
        <v>1895</v>
      </c>
      <c r="H407" s="35" t="s">
        <v>162</v>
      </c>
      <c r="I407" s="35" t="s">
        <v>1966</v>
      </c>
      <c r="J407" s="56">
        <v>46247.7916666667</v>
      </c>
      <c r="K407" s="35" t="s">
        <v>731</v>
      </c>
      <c r="L407" s="35" t="s">
        <v>1109</v>
      </c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</row>
    <row r="408" spans="1:23">
      <c r="A408" s="35">
        <v>32</v>
      </c>
      <c r="B408" s="36">
        <v>46246</v>
      </c>
      <c r="C408" s="35" t="s">
        <v>1967</v>
      </c>
      <c r="D408" s="35">
        <v>18757415509</v>
      </c>
      <c r="E408" s="35"/>
      <c r="F408" s="35" t="s">
        <v>1968</v>
      </c>
      <c r="G408" s="35" t="s">
        <v>684</v>
      </c>
      <c r="H408" s="35" t="s">
        <v>162</v>
      </c>
      <c r="I408" s="35" t="s">
        <v>1966</v>
      </c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</row>
    <row r="409" spans="1:23">
      <c r="A409" s="35">
        <v>33</v>
      </c>
      <c r="B409" s="36">
        <v>46246</v>
      </c>
      <c r="C409" s="35" t="s">
        <v>1969</v>
      </c>
      <c r="D409" s="35"/>
      <c r="E409" s="35" t="s">
        <v>725</v>
      </c>
      <c r="F409" s="35" t="s">
        <v>189</v>
      </c>
      <c r="G409" s="35"/>
      <c r="H409" s="35" t="s">
        <v>200</v>
      </c>
      <c r="I409" s="35" t="s">
        <v>1970</v>
      </c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</row>
    <row r="410" spans="1:23">
      <c r="A410" s="35">
        <v>34</v>
      </c>
      <c r="B410" s="36">
        <v>46247</v>
      </c>
      <c r="C410" s="35" t="s">
        <v>1971</v>
      </c>
      <c r="D410" s="35">
        <v>13094827883</v>
      </c>
      <c r="E410" s="35" t="s">
        <v>178</v>
      </c>
      <c r="F410" s="35" t="s">
        <v>169</v>
      </c>
      <c r="G410" s="35" t="s">
        <v>1236</v>
      </c>
      <c r="H410" s="35" t="s">
        <v>162</v>
      </c>
      <c r="I410" s="35" t="s">
        <v>1966</v>
      </c>
      <c r="J410" s="56">
        <v>46248.5</v>
      </c>
      <c r="K410" s="35" t="s">
        <v>1336</v>
      </c>
      <c r="L410" s="35" t="s">
        <v>192</v>
      </c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</row>
    <row r="411" spans="1:23">
      <c r="A411" s="35">
        <v>35</v>
      </c>
      <c r="B411" s="36">
        <v>46247</v>
      </c>
      <c r="C411" s="35" t="s">
        <v>1972</v>
      </c>
      <c r="D411" s="35">
        <v>18094582681</v>
      </c>
      <c r="E411" s="35" t="s">
        <v>1492</v>
      </c>
      <c r="F411" s="35" t="s">
        <v>176</v>
      </c>
      <c r="G411" s="35" t="s">
        <v>1236</v>
      </c>
      <c r="H411" s="35" t="s">
        <v>162</v>
      </c>
      <c r="I411" s="35" t="s">
        <v>1966</v>
      </c>
      <c r="J411" s="56">
        <v>46248.8194444444</v>
      </c>
      <c r="K411" s="35" t="s">
        <v>171</v>
      </c>
      <c r="L411" s="35" t="s">
        <v>1209</v>
      </c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</row>
    <row r="412" spans="1:23">
      <c r="A412" s="35">
        <v>36</v>
      </c>
      <c r="B412" s="36">
        <v>46248</v>
      </c>
      <c r="C412" s="35" t="s">
        <v>1973</v>
      </c>
      <c r="D412" s="35">
        <v>15958802639</v>
      </c>
      <c r="E412" s="35" t="s">
        <v>1974</v>
      </c>
      <c r="F412" s="35" t="s">
        <v>189</v>
      </c>
      <c r="G412" s="35" t="s">
        <v>1895</v>
      </c>
      <c r="H412" s="35" t="s">
        <v>162</v>
      </c>
      <c r="I412" s="35" t="s">
        <v>1966</v>
      </c>
      <c r="J412" s="35"/>
      <c r="K412" s="35"/>
      <c r="L412" s="35"/>
      <c r="M412" s="35" t="s">
        <v>162</v>
      </c>
      <c r="N412" s="35"/>
      <c r="O412" s="35"/>
      <c r="P412" s="35"/>
      <c r="Q412" s="35" t="s">
        <v>1975</v>
      </c>
      <c r="R412" s="35">
        <v>8461</v>
      </c>
      <c r="S412" s="35"/>
      <c r="T412" s="35"/>
      <c r="U412" s="35"/>
      <c r="V412" s="35"/>
      <c r="W412" s="35"/>
    </row>
    <row r="413" spans="1:23">
      <c r="A413" s="35">
        <v>37</v>
      </c>
      <c r="B413" s="36">
        <v>46248</v>
      </c>
      <c r="C413" s="35" t="s">
        <v>1976</v>
      </c>
      <c r="D413" s="35">
        <v>15157337890</v>
      </c>
      <c r="E413" s="35" t="s">
        <v>168</v>
      </c>
      <c r="F413" s="35" t="s">
        <v>189</v>
      </c>
      <c r="G413" s="35"/>
      <c r="H413" s="35" t="s">
        <v>200</v>
      </c>
      <c r="I413" s="35" t="s">
        <v>722</v>
      </c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</row>
    <row r="414" spans="1:23">
      <c r="A414" s="35">
        <v>38</v>
      </c>
      <c r="B414" s="36">
        <v>46249</v>
      </c>
      <c r="C414" s="35" t="s">
        <v>208</v>
      </c>
      <c r="D414" s="35">
        <v>15706834025</v>
      </c>
      <c r="E414" s="35" t="s">
        <v>1977</v>
      </c>
      <c r="F414" s="35" t="s">
        <v>189</v>
      </c>
      <c r="G414" s="35" t="s">
        <v>1895</v>
      </c>
      <c r="H414" s="35" t="s">
        <v>162</v>
      </c>
      <c r="I414" s="35" t="s">
        <v>1978</v>
      </c>
      <c r="J414" s="56">
        <v>46250.7291666667</v>
      </c>
      <c r="K414" s="35" t="s">
        <v>434</v>
      </c>
      <c r="L414" s="35" t="s">
        <v>1229</v>
      </c>
      <c r="M414" s="35"/>
      <c r="N414" s="35" t="s">
        <v>1551</v>
      </c>
      <c r="O414" s="35">
        <v>284.05</v>
      </c>
      <c r="P414" s="121" t="s">
        <v>1979</v>
      </c>
      <c r="Q414" s="35"/>
      <c r="R414" s="35"/>
      <c r="S414" s="35"/>
      <c r="T414" s="35"/>
      <c r="U414" s="35"/>
      <c r="V414" s="35"/>
      <c r="W414" s="35"/>
    </row>
    <row r="415" spans="1:23">
      <c r="A415" s="35">
        <v>39</v>
      </c>
      <c r="B415" s="36">
        <v>46249</v>
      </c>
      <c r="C415" s="35" t="s">
        <v>1980</v>
      </c>
      <c r="D415" s="35">
        <v>17882448689</v>
      </c>
      <c r="E415" s="35" t="s">
        <v>1150</v>
      </c>
      <c r="F415" s="35" t="s">
        <v>189</v>
      </c>
      <c r="G415" s="35" t="s">
        <v>1209</v>
      </c>
      <c r="H415" s="35" t="s">
        <v>162</v>
      </c>
      <c r="I415" s="35"/>
      <c r="J415" s="56">
        <v>46251.375</v>
      </c>
      <c r="K415" s="35" t="s">
        <v>296</v>
      </c>
      <c r="L415" s="35" t="s">
        <v>1209</v>
      </c>
      <c r="M415" s="35"/>
      <c r="N415" s="35" t="s">
        <v>531</v>
      </c>
      <c r="O415" s="35">
        <v>246.05</v>
      </c>
      <c r="P415" s="121" t="s">
        <v>1981</v>
      </c>
      <c r="Q415" s="35"/>
      <c r="R415" s="35"/>
      <c r="S415" s="35"/>
      <c r="T415" s="35"/>
      <c r="U415" s="35"/>
      <c r="V415" s="35"/>
      <c r="W415" s="35"/>
    </row>
    <row r="416" spans="1:23">
      <c r="A416" s="35">
        <v>40</v>
      </c>
      <c r="B416" s="36">
        <v>46249</v>
      </c>
      <c r="C416" s="35">
        <v>61</v>
      </c>
      <c r="D416" s="35">
        <v>18757377521</v>
      </c>
      <c r="E416" s="35" t="s">
        <v>725</v>
      </c>
      <c r="F416" s="35" t="s">
        <v>189</v>
      </c>
      <c r="G416" s="35"/>
      <c r="H416" s="35" t="s">
        <v>200</v>
      </c>
      <c r="I416" s="35" t="s">
        <v>1982</v>
      </c>
      <c r="J416" s="56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</row>
    <row r="417" spans="1:23">
      <c r="A417" s="35">
        <v>41</v>
      </c>
      <c r="B417" s="36">
        <v>46250</v>
      </c>
      <c r="C417" s="35" t="s">
        <v>1983</v>
      </c>
      <c r="D417" s="35"/>
      <c r="E417" s="35" t="s">
        <v>1984</v>
      </c>
      <c r="F417" s="35" t="s">
        <v>189</v>
      </c>
      <c r="G417" s="35"/>
      <c r="H417" s="35" t="s">
        <v>200</v>
      </c>
      <c r="I417" s="35" t="s">
        <v>1985</v>
      </c>
      <c r="J417" s="56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</row>
    <row r="418" spans="1:23">
      <c r="A418" s="35">
        <v>42</v>
      </c>
      <c r="B418" s="36">
        <v>46251</v>
      </c>
      <c r="C418" s="35" t="s">
        <v>1986</v>
      </c>
      <c r="D418" s="35">
        <v>15257431927</v>
      </c>
      <c r="E418" s="35" t="s">
        <v>159</v>
      </c>
      <c r="F418" s="35" t="s">
        <v>189</v>
      </c>
      <c r="G418" s="35" t="s">
        <v>248</v>
      </c>
      <c r="H418" s="35" t="s">
        <v>162</v>
      </c>
      <c r="I418" s="35"/>
      <c r="J418" s="56">
        <v>46251.5</v>
      </c>
      <c r="K418" s="35" t="s">
        <v>171</v>
      </c>
      <c r="L418" s="35" t="s">
        <v>248</v>
      </c>
      <c r="M418" s="35"/>
      <c r="N418" s="35" t="s">
        <v>1211</v>
      </c>
      <c r="O418" s="35">
        <v>75.04</v>
      </c>
      <c r="P418" s="121" t="s">
        <v>1987</v>
      </c>
      <c r="Q418" s="35" t="s">
        <v>1988</v>
      </c>
      <c r="R418" s="35"/>
      <c r="S418" s="35"/>
      <c r="T418" s="35"/>
      <c r="U418" s="35"/>
      <c r="V418" s="35"/>
      <c r="W418" s="35"/>
    </row>
    <row r="419" spans="1:23">
      <c r="A419" s="35">
        <v>43</v>
      </c>
      <c r="B419" s="36">
        <v>46251</v>
      </c>
      <c r="C419" s="35" t="s">
        <v>1989</v>
      </c>
      <c r="D419" s="35">
        <v>13567432569</v>
      </c>
      <c r="E419" s="35" t="s">
        <v>1990</v>
      </c>
      <c r="F419" s="35" t="s">
        <v>169</v>
      </c>
      <c r="G419" s="35"/>
      <c r="H419" s="35" t="s">
        <v>200</v>
      </c>
      <c r="I419" s="35" t="s">
        <v>1991</v>
      </c>
      <c r="J419" s="56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</row>
    <row r="420" spans="1:23">
      <c r="A420" s="35">
        <v>44</v>
      </c>
      <c r="B420" s="36">
        <v>46252</v>
      </c>
      <c r="C420" s="35" t="s">
        <v>246</v>
      </c>
      <c r="D420" s="35"/>
      <c r="E420" s="35" t="s">
        <v>693</v>
      </c>
      <c r="F420" s="35" t="s">
        <v>189</v>
      </c>
      <c r="G420" s="35"/>
      <c r="H420" s="35" t="s">
        <v>200</v>
      </c>
      <c r="I420" s="35" t="s">
        <v>1992</v>
      </c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</row>
    <row r="421" spans="1:23">
      <c r="A421" s="35">
        <v>45</v>
      </c>
      <c r="B421" s="36">
        <v>46252</v>
      </c>
      <c r="C421" s="35" t="s">
        <v>1993</v>
      </c>
      <c r="D421" s="35">
        <v>18768047924</v>
      </c>
      <c r="E421" s="35" t="s">
        <v>1994</v>
      </c>
      <c r="F421" s="35" t="s">
        <v>176</v>
      </c>
      <c r="G421" s="35" t="s">
        <v>1895</v>
      </c>
      <c r="H421" s="35" t="s">
        <v>162</v>
      </c>
      <c r="I421" s="35" t="s">
        <v>1966</v>
      </c>
      <c r="J421" s="56">
        <v>46259.8125</v>
      </c>
      <c r="K421" s="35" t="s">
        <v>1995</v>
      </c>
      <c r="L421" s="35" t="s">
        <v>1109</v>
      </c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</row>
    <row r="422" spans="1:23">
      <c r="A422" s="35">
        <v>46</v>
      </c>
      <c r="B422" s="36">
        <v>46253</v>
      </c>
      <c r="C422" s="35" t="s">
        <v>1996</v>
      </c>
      <c r="D422" s="35">
        <v>13586884025</v>
      </c>
      <c r="E422" s="35" t="s">
        <v>725</v>
      </c>
      <c r="F422" s="35" t="s">
        <v>189</v>
      </c>
      <c r="G422" s="35" t="s">
        <v>1236</v>
      </c>
      <c r="H422" s="35" t="s">
        <v>162</v>
      </c>
      <c r="I422" s="35"/>
      <c r="J422" s="56">
        <v>46254.5138888889</v>
      </c>
      <c r="K422" s="35" t="s">
        <v>1827</v>
      </c>
      <c r="L422" s="35" t="s">
        <v>1910</v>
      </c>
      <c r="M422" s="35"/>
      <c r="N422" s="35" t="s">
        <v>1211</v>
      </c>
      <c r="O422" s="35">
        <v>70.37</v>
      </c>
      <c r="P422" s="122" t="s">
        <v>1997</v>
      </c>
      <c r="Q422" s="35" t="s">
        <v>1998</v>
      </c>
      <c r="R422" s="35"/>
      <c r="S422" s="35"/>
      <c r="T422" s="35"/>
      <c r="U422" s="35"/>
      <c r="V422" s="35"/>
      <c r="W422" s="35"/>
    </row>
    <row r="423" spans="1:23">
      <c r="A423" s="35">
        <v>47</v>
      </c>
      <c r="B423" s="36">
        <v>46253</v>
      </c>
      <c r="C423" s="35" t="s">
        <v>560</v>
      </c>
      <c r="D423" s="35">
        <v>13186890725</v>
      </c>
      <c r="E423" s="35" t="s">
        <v>1999</v>
      </c>
      <c r="F423" s="35" t="s">
        <v>169</v>
      </c>
      <c r="G423" s="35" t="s">
        <v>1209</v>
      </c>
      <c r="H423" s="35" t="s">
        <v>162</v>
      </c>
      <c r="I423" s="35"/>
      <c r="J423" s="56">
        <v>46254.7638888889</v>
      </c>
      <c r="K423" s="35" t="s">
        <v>1827</v>
      </c>
      <c r="L423" s="35" t="s">
        <v>1229</v>
      </c>
      <c r="M423" s="35"/>
      <c r="N423" s="35" t="s">
        <v>1949</v>
      </c>
      <c r="O423" s="35">
        <v>182.4</v>
      </c>
      <c r="P423" s="121" t="s">
        <v>2000</v>
      </c>
      <c r="Q423" s="35"/>
      <c r="R423" s="35"/>
      <c r="S423" s="35"/>
      <c r="T423" s="35"/>
      <c r="U423" s="35"/>
      <c r="V423" s="35"/>
      <c r="W423" s="35"/>
    </row>
    <row r="424" spans="1:23">
      <c r="A424" s="35">
        <v>48</v>
      </c>
      <c r="B424" s="36">
        <v>46254</v>
      </c>
      <c r="C424" s="35" t="s">
        <v>814</v>
      </c>
      <c r="D424" s="35">
        <v>15157337890</v>
      </c>
      <c r="E424" s="35" t="s">
        <v>1860</v>
      </c>
      <c r="F424" s="35" t="s">
        <v>189</v>
      </c>
      <c r="G424" s="35" t="s">
        <v>161</v>
      </c>
      <c r="H424" s="35" t="s">
        <v>200</v>
      </c>
      <c r="I424" s="35" t="s">
        <v>2001</v>
      </c>
      <c r="J424" s="56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</row>
    <row r="425" spans="1:23">
      <c r="A425" s="35">
        <v>49</v>
      </c>
      <c r="B425" s="36">
        <v>46254</v>
      </c>
      <c r="C425" s="35" t="s">
        <v>2002</v>
      </c>
      <c r="D425" s="35">
        <v>13975568512</v>
      </c>
      <c r="E425" s="35" t="s">
        <v>860</v>
      </c>
      <c r="F425" s="35" t="s">
        <v>169</v>
      </c>
      <c r="G425" s="35"/>
      <c r="H425" s="35" t="s">
        <v>200</v>
      </c>
      <c r="I425" s="35" t="s">
        <v>2003</v>
      </c>
      <c r="J425" s="56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</row>
    <row r="426" spans="1:23">
      <c r="A426" s="35">
        <v>50</v>
      </c>
      <c r="B426" s="36">
        <v>46255</v>
      </c>
      <c r="C426" s="35" t="s">
        <v>2004</v>
      </c>
      <c r="D426" s="35">
        <v>15957423473</v>
      </c>
      <c r="E426" s="35" t="s">
        <v>2005</v>
      </c>
      <c r="F426" s="35" t="s">
        <v>189</v>
      </c>
      <c r="G426" s="35" t="s">
        <v>1895</v>
      </c>
      <c r="H426" s="35" t="s">
        <v>162</v>
      </c>
      <c r="I426" s="35" t="s">
        <v>2006</v>
      </c>
      <c r="J426" s="56">
        <v>46258.5416666667</v>
      </c>
      <c r="K426" s="35" t="s">
        <v>657</v>
      </c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</row>
    <row r="427" spans="1:23">
      <c r="A427" s="35">
        <v>51</v>
      </c>
      <c r="B427" s="36">
        <v>46255</v>
      </c>
      <c r="C427" s="35" t="s">
        <v>2007</v>
      </c>
      <c r="D427" s="35">
        <v>13571819208</v>
      </c>
      <c r="E427" s="35" t="s">
        <v>2008</v>
      </c>
      <c r="F427" s="35" t="s">
        <v>169</v>
      </c>
      <c r="G427" s="35"/>
      <c r="H427" s="35" t="s">
        <v>200</v>
      </c>
      <c r="I427" s="35"/>
      <c r="J427" s="56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</row>
    <row r="428" spans="1:23">
      <c r="A428" s="35">
        <v>52</v>
      </c>
      <c r="B428" s="36">
        <v>46256</v>
      </c>
      <c r="C428" s="35" t="s">
        <v>317</v>
      </c>
      <c r="D428" s="35">
        <v>18395899863</v>
      </c>
      <c r="E428" s="35" t="s">
        <v>2009</v>
      </c>
      <c r="F428" s="35" t="s">
        <v>189</v>
      </c>
      <c r="G428" s="35" t="s">
        <v>1209</v>
      </c>
      <c r="H428" s="35" t="s">
        <v>162</v>
      </c>
      <c r="I428" s="35"/>
      <c r="J428" s="56">
        <v>46264.6666666667</v>
      </c>
      <c r="K428" s="35" t="s">
        <v>678</v>
      </c>
      <c r="L428" s="35" t="s">
        <v>177</v>
      </c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</row>
    <row r="429" spans="1:23">
      <c r="A429" s="35">
        <v>53</v>
      </c>
      <c r="B429" s="36">
        <v>46256</v>
      </c>
      <c r="C429" s="75" t="s">
        <v>2010</v>
      </c>
      <c r="D429" s="75">
        <v>15601880086</v>
      </c>
      <c r="E429" s="75" t="s">
        <v>726</v>
      </c>
      <c r="F429" s="75" t="s">
        <v>189</v>
      </c>
      <c r="G429" s="75" t="s">
        <v>1236</v>
      </c>
      <c r="H429" s="35" t="s">
        <v>162</v>
      </c>
      <c r="I429" s="75"/>
      <c r="J429" s="56">
        <v>46258.4930555556</v>
      </c>
      <c r="K429" s="75" t="s">
        <v>2011</v>
      </c>
      <c r="L429" s="75" t="s">
        <v>1218</v>
      </c>
      <c r="M429" s="75"/>
      <c r="N429" s="75" t="s">
        <v>1281</v>
      </c>
      <c r="O429" s="75">
        <v>93</v>
      </c>
      <c r="P429" s="125" t="s">
        <v>2012</v>
      </c>
      <c r="Q429" s="75"/>
      <c r="R429" s="75"/>
      <c r="S429" s="75"/>
      <c r="T429" s="75"/>
      <c r="U429" s="75"/>
      <c r="V429" s="75"/>
      <c r="W429" s="75"/>
    </row>
    <row r="430" spans="1:23">
      <c r="A430" s="35">
        <v>54</v>
      </c>
      <c r="B430" s="36">
        <v>46256</v>
      </c>
      <c r="C430" s="75" t="s">
        <v>2013</v>
      </c>
      <c r="D430" s="75"/>
      <c r="E430" s="75" t="s">
        <v>2014</v>
      </c>
      <c r="F430" s="75" t="s">
        <v>189</v>
      </c>
      <c r="G430" s="75"/>
      <c r="H430" s="35" t="s">
        <v>200</v>
      </c>
      <c r="I430" s="75" t="s">
        <v>2015</v>
      </c>
      <c r="J430" s="56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</row>
    <row r="431" spans="1:23">
      <c r="A431" s="35">
        <v>55</v>
      </c>
      <c r="B431" s="36">
        <v>46259</v>
      </c>
      <c r="C431" s="75" t="s">
        <v>2016</v>
      </c>
      <c r="D431" s="75">
        <v>15512136338</v>
      </c>
      <c r="E431" s="75" t="s">
        <v>2017</v>
      </c>
      <c r="F431" s="75" t="s">
        <v>169</v>
      </c>
      <c r="G431" s="75" t="s">
        <v>684</v>
      </c>
      <c r="H431" s="35" t="s">
        <v>162</v>
      </c>
      <c r="I431" s="75"/>
      <c r="J431" s="56">
        <v>46261.8125</v>
      </c>
      <c r="K431" s="75" t="s">
        <v>171</v>
      </c>
      <c r="L431" s="75" t="s">
        <v>684</v>
      </c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</row>
    <row r="432" spans="1:23">
      <c r="A432" s="35">
        <v>56</v>
      </c>
      <c r="B432" s="36">
        <v>46259</v>
      </c>
      <c r="C432" s="75" t="s">
        <v>2018</v>
      </c>
      <c r="D432" s="75"/>
      <c r="E432" s="75" t="s">
        <v>2019</v>
      </c>
      <c r="F432" s="75" t="s">
        <v>1133</v>
      </c>
      <c r="G432" s="75"/>
      <c r="H432" s="75" t="s">
        <v>200</v>
      </c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</row>
    <row r="433" spans="1:23">
      <c r="A433" s="35">
        <v>57</v>
      </c>
      <c r="B433" s="36">
        <v>46259</v>
      </c>
      <c r="C433" s="75" t="s">
        <v>2020</v>
      </c>
      <c r="D433" s="75">
        <v>15158333474</v>
      </c>
      <c r="E433" s="75" t="s">
        <v>315</v>
      </c>
      <c r="F433" s="75" t="s">
        <v>169</v>
      </c>
      <c r="G433" s="75"/>
      <c r="H433" s="75" t="s">
        <v>200</v>
      </c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</row>
    <row r="434" spans="1:23">
      <c r="A434" s="35">
        <v>58</v>
      </c>
      <c r="B434" s="36">
        <v>46259</v>
      </c>
      <c r="C434" s="75" t="s">
        <v>2021</v>
      </c>
      <c r="D434" s="75">
        <v>13958359906</v>
      </c>
      <c r="E434" s="75" t="s">
        <v>2022</v>
      </c>
      <c r="F434" s="75" t="s">
        <v>189</v>
      </c>
      <c r="G434" s="75"/>
      <c r="H434" s="75" t="s">
        <v>200</v>
      </c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</row>
    <row r="435" spans="1:23">
      <c r="A435" s="35">
        <v>59</v>
      </c>
      <c r="B435" s="36">
        <v>46259</v>
      </c>
      <c r="C435" s="75" t="s">
        <v>2023</v>
      </c>
      <c r="D435" s="75"/>
      <c r="E435" s="75" t="s">
        <v>1860</v>
      </c>
      <c r="F435" s="75" t="s">
        <v>189</v>
      </c>
      <c r="G435" s="75"/>
      <c r="H435" s="75" t="s">
        <v>200</v>
      </c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</row>
    <row r="436" spans="1:23">
      <c r="A436" s="35">
        <v>60</v>
      </c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</row>
    <row r="437" spans="1:23">
      <c r="A437" s="35">
        <v>61</v>
      </c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</row>
    <row r="438" spans="1:23">
      <c r="A438" s="35">
        <v>62</v>
      </c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</row>
    <row r="439" spans="1:23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</row>
  </sheetData>
  <mergeCells count="15">
    <mergeCell ref="A1:W1"/>
    <mergeCell ref="A2:W2"/>
    <mergeCell ref="A3:R3"/>
    <mergeCell ref="S3:U3"/>
    <mergeCell ref="V3:W3"/>
    <mergeCell ref="N27:O27"/>
    <mergeCell ref="D225:D226"/>
    <mergeCell ref="D257:D258"/>
    <mergeCell ref="I24:I25"/>
    <mergeCell ref="I71:I75"/>
    <mergeCell ref="I117:I119"/>
    <mergeCell ref="I162:I163"/>
    <mergeCell ref="N225:N226"/>
    <mergeCell ref="O225:O226"/>
    <mergeCell ref="P225:P226"/>
  </mergeCells>
  <conditionalFormatting sqref="H4:I4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9"/>
  <sheetViews>
    <sheetView zoomScale="80" zoomScaleNormal="80" topLeftCell="A99" workbookViewId="0">
      <selection activeCell="M132" sqref="M132"/>
    </sheetView>
  </sheetViews>
  <sheetFormatPr defaultColWidth="8.96666666666667" defaultRowHeight="15.75"/>
  <cols>
    <col min="1" max="1" width="4.06666666666667" style="17" customWidth="1"/>
    <col min="2" max="2" width="11.0666666666667" style="17" customWidth="1"/>
    <col min="3" max="3" width="19.1416666666667" style="17" customWidth="1"/>
    <col min="4" max="4" width="16.0666666666667" style="17" customWidth="1"/>
    <col min="5" max="5" width="11.5666666666667" style="17" customWidth="1"/>
    <col min="6" max="6" width="11.625" style="17" customWidth="1"/>
    <col min="7" max="7" width="11.1333333333333" style="17" customWidth="1"/>
    <col min="8" max="8" width="5.56666666666667" style="17" customWidth="1"/>
    <col min="9" max="9" width="13.8333333333333" style="17" customWidth="1"/>
    <col min="10" max="10" width="11.8166666666667" style="17" customWidth="1"/>
    <col min="11" max="11" width="11.0666666666667" style="17" customWidth="1"/>
    <col min="12" max="12" width="19.7666666666667" style="17" customWidth="1"/>
    <col min="13" max="13" width="19.0583333333333" style="21" customWidth="1"/>
    <col min="14" max="14" width="10.6333333333333" style="17" customWidth="1"/>
    <col min="15" max="17" width="30.5666666666667" style="17" customWidth="1"/>
    <col min="18" max="18" width="14.85" style="17" customWidth="1"/>
    <col min="19" max="19" width="10" style="17" customWidth="1"/>
    <col min="20" max="20" width="44.475" style="17" customWidth="1"/>
    <col min="21" max="16384" width="8.96666666666667" style="17"/>
  </cols>
  <sheetData>
    <row r="1" s="16" customFormat="1" ht="60" customHeight="1" spans="1:20">
      <c r="A1" s="22" t="s">
        <v>2024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  <c r="N1" s="22"/>
      <c r="O1" s="22"/>
      <c r="P1" s="22"/>
      <c r="Q1" s="22"/>
      <c r="R1" s="22"/>
      <c r="S1" s="22"/>
      <c r="T1" s="22"/>
    </row>
    <row r="2" s="17" customFormat="1" ht="47" customHeight="1" spans="1:20">
      <c r="A2" s="24" t="s">
        <v>2025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  <c r="N2" s="25"/>
      <c r="O2" s="25"/>
      <c r="P2" s="25"/>
      <c r="Q2" s="25"/>
      <c r="R2" s="25"/>
      <c r="S2" s="25"/>
      <c r="T2" s="27"/>
    </row>
    <row r="3" s="17" customFormat="1" ht="63" customHeight="1" spans="1:20">
      <c r="A3" s="28" t="s">
        <v>133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30" t="s">
        <v>2026</v>
      </c>
      <c r="P3" s="30"/>
      <c r="Q3" s="30"/>
      <c r="R3" s="29" t="s">
        <v>2027</v>
      </c>
      <c r="S3" s="29"/>
      <c r="T3" s="31"/>
    </row>
    <row r="4" s="17" customFormat="1" ht="47" customHeight="1" spans="1:20">
      <c r="A4" s="30" t="s">
        <v>136</v>
      </c>
      <c r="B4" s="32" t="s">
        <v>2028</v>
      </c>
      <c r="C4" s="32" t="s">
        <v>138</v>
      </c>
      <c r="D4" s="32" t="s">
        <v>139</v>
      </c>
      <c r="E4" s="32" t="s">
        <v>140</v>
      </c>
      <c r="F4" s="32" t="s">
        <v>141</v>
      </c>
      <c r="G4" s="32" t="s">
        <v>2029</v>
      </c>
      <c r="H4" s="33" t="s">
        <v>156</v>
      </c>
      <c r="I4" s="32" t="s">
        <v>2030</v>
      </c>
      <c r="J4" s="32" t="s">
        <v>2031</v>
      </c>
      <c r="K4" s="32" t="s">
        <v>2032</v>
      </c>
      <c r="L4" s="30" t="s">
        <v>2033</v>
      </c>
      <c r="M4" s="30" t="s">
        <v>2034</v>
      </c>
      <c r="N4" s="32" t="s">
        <v>152</v>
      </c>
      <c r="O4" s="30" t="s">
        <v>8</v>
      </c>
      <c r="P4" s="30" t="s">
        <v>9</v>
      </c>
      <c r="Q4" s="30" t="s">
        <v>2035</v>
      </c>
      <c r="R4" s="34" t="s">
        <v>2036</v>
      </c>
      <c r="S4" s="34" t="s">
        <v>2037</v>
      </c>
      <c r="T4" s="32" t="s">
        <v>2038</v>
      </c>
    </row>
    <row r="5" ht="20" customHeight="1" spans="1:20">
      <c r="A5" s="35">
        <v>1</v>
      </c>
      <c r="B5" s="36">
        <v>45392</v>
      </c>
      <c r="C5" s="35" t="s">
        <v>158</v>
      </c>
      <c r="D5" s="35">
        <v>12345678911</v>
      </c>
      <c r="E5" s="35" t="s">
        <v>159</v>
      </c>
      <c r="F5" s="35" t="s">
        <v>160</v>
      </c>
      <c r="G5" s="35" t="s">
        <v>161</v>
      </c>
      <c r="H5" s="35" t="s">
        <v>2039</v>
      </c>
      <c r="I5" s="37">
        <v>3</v>
      </c>
      <c r="J5" s="35" t="s">
        <v>164</v>
      </c>
      <c r="K5" s="35" t="s">
        <v>210</v>
      </c>
      <c r="L5" s="37" t="s">
        <v>2040</v>
      </c>
      <c r="M5" s="38" t="s">
        <v>2041</v>
      </c>
      <c r="N5" s="35">
        <v>15840</v>
      </c>
      <c r="O5" s="39" t="s">
        <v>2041</v>
      </c>
      <c r="P5" s="39" t="s">
        <v>2042</v>
      </c>
      <c r="Q5" s="39" t="s">
        <v>2043</v>
      </c>
      <c r="R5" s="39">
        <v>45392</v>
      </c>
      <c r="S5" s="39" t="s">
        <v>2044</v>
      </c>
      <c r="T5" s="35"/>
    </row>
    <row r="6" ht="20" customHeight="1" spans="1:20">
      <c r="A6" s="35">
        <v>2</v>
      </c>
      <c r="B6" s="36"/>
      <c r="C6" s="35"/>
      <c r="D6" s="35"/>
      <c r="E6" s="35"/>
      <c r="F6" s="35"/>
      <c r="G6" s="35"/>
      <c r="H6" s="35"/>
      <c r="I6" s="35"/>
      <c r="J6" s="35"/>
      <c r="K6" s="35"/>
      <c r="L6" s="35"/>
      <c r="M6" s="38"/>
      <c r="N6" s="35"/>
      <c r="O6" s="39"/>
      <c r="P6" s="39"/>
      <c r="Q6" s="39"/>
      <c r="R6" s="39"/>
      <c r="S6" s="39"/>
      <c r="T6" s="35"/>
    </row>
    <row r="7" ht="39" customHeight="1" spans="1:20">
      <c r="A7" s="35">
        <v>3</v>
      </c>
      <c r="B7" s="36">
        <v>45906</v>
      </c>
      <c r="C7" s="35" t="s">
        <v>258</v>
      </c>
      <c r="D7" s="35">
        <v>15988319515</v>
      </c>
      <c r="E7" s="35" t="s">
        <v>159</v>
      </c>
      <c r="F7" s="35" t="s">
        <v>278</v>
      </c>
      <c r="G7" s="35" t="s">
        <v>260</v>
      </c>
      <c r="H7" s="35"/>
      <c r="I7" s="35"/>
      <c r="J7" s="35"/>
      <c r="K7" s="35"/>
      <c r="L7" s="35"/>
      <c r="M7" s="38" t="s">
        <v>261</v>
      </c>
      <c r="N7" s="35">
        <v>1999</v>
      </c>
      <c r="O7" s="39"/>
      <c r="P7" s="39" t="s">
        <v>2045</v>
      </c>
      <c r="Q7" s="39" t="s">
        <v>2046</v>
      </c>
      <c r="R7" s="39"/>
      <c r="S7" s="39"/>
      <c r="T7" s="35"/>
    </row>
    <row r="8" ht="20" customHeight="1" spans="1:20">
      <c r="A8" s="35">
        <v>4</v>
      </c>
      <c r="B8" s="36">
        <v>45918</v>
      </c>
      <c r="C8" s="35" t="s">
        <v>280</v>
      </c>
      <c r="D8" s="35">
        <v>19165454475</v>
      </c>
      <c r="E8" s="35" t="s">
        <v>754</v>
      </c>
      <c r="F8" s="35" t="s">
        <v>169</v>
      </c>
      <c r="G8" s="35" t="s">
        <v>190</v>
      </c>
      <c r="H8" s="35"/>
      <c r="I8" s="35"/>
      <c r="J8" s="35"/>
      <c r="K8" s="35"/>
      <c r="L8" s="35"/>
      <c r="M8" s="38" t="s">
        <v>283</v>
      </c>
      <c r="N8" s="35">
        <v>1946</v>
      </c>
      <c r="O8" s="39"/>
      <c r="P8" s="39" t="s">
        <v>2042</v>
      </c>
      <c r="Q8" s="39"/>
      <c r="R8" s="39"/>
      <c r="S8" s="39"/>
      <c r="T8" s="35"/>
    </row>
    <row r="9" s="18" customFormat="1" ht="30" customHeight="1" spans="1:20">
      <c r="A9" s="35">
        <v>5</v>
      </c>
      <c r="B9" s="40"/>
      <c r="C9" s="41"/>
      <c r="D9" s="41"/>
      <c r="E9" s="41"/>
      <c r="F9" s="41"/>
      <c r="G9" s="41"/>
      <c r="H9" s="41"/>
      <c r="I9" s="41"/>
      <c r="J9" s="41"/>
      <c r="K9" s="41"/>
      <c r="L9" s="41"/>
      <c r="M9" s="42"/>
      <c r="N9" s="41"/>
      <c r="O9" s="43"/>
      <c r="P9" s="43"/>
      <c r="Q9" s="43"/>
      <c r="R9" s="43"/>
      <c r="S9" s="43"/>
      <c r="T9" s="41"/>
    </row>
    <row r="10" ht="92" customHeight="1" spans="1:20">
      <c r="A10" s="35">
        <v>6</v>
      </c>
      <c r="B10" s="36">
        <v>45931</v>
      </c>
      <c r="C10" s="35" t="s">
        <v>294</v>
      </c>
      <c r="D10" s="35">
        <v>18757423383</v>
      </c>
      <c r="E10" s="35" t="s">
        <v>295</v>
      </c>
      <c r="F10" s="35" t="s">
        <v>189</v>
      </c>
      <c r="G10" s="35" t="s">
        <v>210</v>
      </c>
      <c r="H10" s="35"/>
      <c r="I10" s="35"/>
      <c r="J10" s="35"/>
      <c r="K10" s="35"/>
      <c r="L10" s="35"/>
      <c r="M10" s="38" t="s">
        <v>297</v>
      </c>
      <c r="N10" s="35">
        <v>31946</v>
      </c>
      <c r="O10" s="39" t="s">
        <v>2047</v>
      </c>
      <c r="P10" s="39" t="s">
        <v>2042</v>
      </c>
      <c r="Q10" s="39"/>
      <c r="R10" s="39"/>
      <c r="S10" s="39"/>
      <c r="T10" s="35"/>
    </row>
    <row r="11" ht="38" customHeight="1" spans="1:20">
      <c r="A11" s="35">
        <v>7</v>
      </c>
      <c r="B11" s="36">
        <v>45934</v>
      </c>
      <c r="C11" s="35" t="s">
        <v>305</v>
      </c>
      <c r="D11" s="35">
        <v>18963643162</v>
      </c>
      <c r="E11" s="35" t="s">
        <v>168</v>
      </c>
      <c r="F11" s="35" t="s">
        <v>189</v>
      </c>
      <c r="G11" s="35" t="s">
        <v>190</v>
      </c>
      <c r="H11" s="35"/>
      <c r="I11" s="35"/>
      <c r="J11" s="35"/>
      <c r="K11" s="35"/>
      <c r="L11" s="35"/>
      <c r="M11" s="38" t="s">
        <v>306</v>
      </c>
      <c r="N11" s="35">
        <v>1980</v>
      </c>
      <c r="O11" s="39"/>
      <c r="P11" s="39" t="s">
        <v>2048</v>
      </c>
      <c r="Q11" s="39" t="s">
        <v>2049</v>
      </c>
      <c r="R11" s="39"/>
      <c r="S11" s="39"/>
      <c r="T11" s="35"/>
    </row>
    <row r="12" ht="40" customHeight="1" spans="1:20">
      <c r="A12" s="35">
        <v>8</v>
      </c>
      <c r="B12" s="36">
        <v>45941</v>
      </c>
      <c r="C12" s="35" t="s">
        <v>327</v>
      </c>
      <c r="D12" s="35">
        <v>17757461126</v>
      </c>
      <c r="E12" s="35" t="s">
        <v>295</v>
      </c>
      <c r="F12" s="35" t="s">
        <v>189</v>
      </c>
      <c r="G12" s="35" t="s">
        <v>170</v>
      </c>
      <c r="H12" s="35"/>
      <c r="I12" s="35"/>
      <c r="J12" s="35"/>
      <c r="K12" s="35"/>
      <c r="L12" s="35"/>
      <c r="M12" s="38" t="s">
        <v>2050</v>
      </c>
      <c r="N12" s="35">
        <v>6999</v>
      </c>
      <c r="O12" s="39" t="s">
        <v>538</v>
      </c>
      <c r="P12" s="39" t="s">
        <v>1223</v>
      </c>
      <c r="Q12" s="39"/>
      <c r="R12" s="39"/>
      <c r="S12" s="39"/>
      <c r="T12" s="35"/>
    </row>
    <row r="13" ht="40" customHeight="1" spans="1:20">
      <c r="A13" s="35">
        <v>9</v>
      </c>
      <c r="B13" s="36">
        <v>45942</v>
      </c>
      <c r="C13" s="35" t="s">
        <v>333</v>
      </c>
      <c r="D13" s="35">
        <v>15988610580</v>
      </c>
      <c r="E13" s="35" t="s">
        <v>159</v>
      </c>
      <c r="F13" s="35" t="s">
        <v>189</v>
      </c>
      <c r="G13" s="35" t="s">
        <v>177</v>
      </c>
      <c r="H13" s="35"/>
      <c r="I13" s="35"/>
      <c r="J13" s="35"/>
      <c r="K13" s="35"/>
      <c r="L13" s="35"/>
      <c r="M13" s="38" t="s">
        <v>336</v>
      </c>
      <c r="N13" s="35">
        <v>3495</v>
      </c>
      <c r="O13" s="39"/>
      <c r="P13" s="39" t="s">
        <v>2051</v>
      </c>
      <c r="Q13" s="39" t="s">
        <v>2052</v>
      </c>
      <c r="R13" s="39"/>
      <c r="S13" s="39"/>
      <c r="T13" s="35"/>
    </row>
    <row r="14" ht="20" customHeight="1" spans="1:20">
      <c r="A14" s="35">
        <v>10</v>
      </c>
      <c r="B14" s="36">
        <v>45942</v>
      </c>
      <c r="C14" s="35" t="s">
        <v>2053</v>
      </c>
      <c r="D14" s="35">
        <v>13216666110</v>
      </c>
      <c r="E14" s="35" t="s">
        <v>168</v>
      </c>
      <c r="F14" s="35" t="s">
        <v>189</v>
      </c>
      <c r="G14" s="35" t="s">
        <v>1209</v>
      </c>
      <c r="H14" s="35"/>
      <c r="I14" s="35"/>
      <c r="J14" s="35"/>
      <c r="K14" s="35"/>
      <c r="L14" s="35"/>
      <c r="M14" s="38" t="s">
        <v>1213</v>
      </c>
      <c r="N14" s="35">
        <v>4660</v>
      </c>
      <c r="O14" s="39"/>
      <c r="P14" s="39" t="s">
        <v>1213</v>
      </c>
      <c r="Q14" s="39"/>
      <c r="R14" s="39"/>
      <c r="S14" s="39"/>
      <c r="T14" s="35"/>
    </row>
    <row r="15" ht="20" customHeight="1" spans="1:20">
      <c r="A15" s="35">
        <v>11</v>
      </c>
      <c r="B15" s="36">
        <v>45944</v>
      </c>
      <c r="C15" s="35" t="s">
        <v>302</v>
      </c>
      <c r="D15" s="35">
        <v>15988610580</v>
      </c>
      <c r="E15" s="35" t="s">
        <v>168</v>
      </c>
      <c r="F15" s="35" t="s">
        <v>189</v>
      </c>
      <c r="G15" s="35" t="s">
        <v>177</v>
      </c>
      <c r="H15" s="35"/>
      <c r="I15" s="35"/>
      <c r="J15" s="35"/>
      <c r="K15" s="35"/>
      <c r="L15" s="35"/>
      <c r="M15" s="38" t="s">
        <v>336</v>
      </c>
      <c r="N15" s="35">
        <v>3495</v>
      </c>
      <c r="O15" s="39"/>
      <c r="P15" s="39" t="s">
        <v>2051</v>
      </c>
      <c r="Q15" s="39" t="s">
        <v>2052</v>
      </c>
      <c r="R15" s="39"/>
      <c r="S15" s="39"/>
      <c r="T15" s="35"/>
    </row>
    <row r="16" ht="20" customHeight="1" spans="1:20">
      <c r="A16" s="35">
        <v>12</v>
      </c>
      <c r="B16" s="36">
        <v>45948</v>
      </c>
      <c r="C16" s="35" t="s">
        <v>2054</v>
      </c>
      <c r="D16" s="35">
        <v>15258182052</v>
      </c>
      <c r="E16" s="35" t="s">
        <v>168</v>
      </c>
      <c r="F16" s="35" t="s">
        <v>189</v>
      </c>
      <c r="G16" s="35" t="s">
        <v>248</v>
      </c>
      <c r="H16" s="35"/>
      <c r="I16" s="35"/>
      <c r="J16" s="35"/>
      <c r="K16" s="35"/>
      <c r="L16" s="35"/>
      <c r="M16" s="38" t="s">
        <v>1213</v>
      </c>
      <c r="N16" s="35">
        <v>4660</v>
      </c>
      <c r="O16" s="39"/>
      <c r="P16" s="39" t="s">
        <v>1213</v>
      </c>
      <c r="Q16" s="39"/>
      <c r="R16" s="39"/>
      <c r="S16" s="39"/>
      <c r="T16" s="35"/>
    </row>
    <row r="17" ht="30" customHeight="1" spans="1:20">
      <c r="A17" s="35">
        <v>13</v>
      </c>
      <c r="B17" s="36">
        <v>45950</v>
      </c>
      <c r="C17" s="35" t="s">
        <v>351</v>
      </c>
      <c r="D17" s="35">
        <v>17855886502</v>
      </c>
      <c r="E17" s="35" t="s">
        <v>168</v>
      </c>
      <c r="F17" s="35" t="s">
        <v>169</v>
      </c>
      <c r="G17" s="35" t="s">
        <v>210</v>
      </c>
      <c r="H17" s="35"/>
      <c r="I17" s="35"/>
      <c r="J17" s="35"/>
      <c r="K17" s="35"/>
      <c r="L17" s="35"/>
      <c r="M17" s="38" t="s">
        <v>353</v>
      </c>
      <c r="N17" s="35">
        <v>6999</v>
      </c>
      <c r="O17" s="39" t="s">
        <v>538</v>
      </c>
      <c r="P17" s="39" t="s">
        <v>1223</v>
      </c>
      <c r="Q17" s="39"/>
      <c r="R17" s="39"/>
      <c r="S17" s="39"/>
      <c r="T17" s="35"/>
    </row>
    <row r="18" ht="38" customHeight="1" spans="1:20">
      <c r="A18" s="35">
        <v>14</v>
      </c>
      <c r="B18" s="36">
        <v>45953</v>
      </c>
      <c r="C18" s="35" t="s">
        <v>2055</v>
      </c>
      <c r="D18" s="35">
        <v>18668566857</v>
      </c>
      <c r="E18" s="35" t="s">
        <v>168</v>
      </c>
      <c r="F18" s="35" t="s">
        <v>1220</v>
      </c>
      <c r="G18" s="35" t="s">
        <v>248</v>
      </c>
      <c r="H18" s="35"/>
      <c r="I18" s="35"/>
      <c r="J18" s="35"/>
      <c r="K18" s="35"/>
      <c r="L18" s="35"/>
      <c r="M18" s="38" t="s">
        <v>2056</v>
      </c>
      <c r="N18" s="35">
        <v>1946</v>
      </c>
      <c r="O18" s="35"/>
      <c r="P18" s="38" t="s">
        <v>2056</v>
      </c>
      <c r="Q18" s="35"/>
      <c r="R18" s="39"/>
      <c r="S18" s="39"/>
      <c r="T18" s="35"/>
    </row>
    <row r="19" ht="20" customHeight="1" spans="1:20">
      <c r="A19" s="35">
        <v>15</v>
      </c>
      <c r="B19" s="36">
        <v>45953</v>
      </c>
      <c r="C19" s="35" t="s">
        <v>350</v>
      </c>
      <c r="D19" s="35">
        <v>13646687880</v>
      </c>
      <c r="E19" s="35" t="s">
        <v>168</v>
      </c>
      <c r="F19" s="35" t="s">
        <v>267</v>
      </c>
      <c r="G19" s="35" t="s">
        <v>177</v>
      </c>
      <c r="H19" s="35"/>
      <c r="I19" s="35"/>
      <c r="J19" s="35"/>
      <c r="K19" s="35"/>
      <c r="L19" s="35"/>
      <c r="M19" s="38" t="s">
        <v>283</v>
      </c>
      <c r="N19" s="35">
        <v>1946</v>
      </c>
      <c r="O19" s="39"/>
      <c r="P19" s="38" t="s">
        <v>283</v>
      </c>
      <c r="Q19" s="39"/>
      <c r="R19" s="39"/>
      <c r="S19" s="39"/>
      <c r="T19" s="35"/>
    </row>
    <row r="20" ht="42" customHeight="1" spans="1:20">
      <c r="A20" s="35">
        <v>16</v>
      </c>
      <c r="B20" s="36">
        <v>45956</v>
      </c>
      <c r="C20" s="35" t="s">
        <v>356</v>
      </c>
      <c r="D20" s="35">
        <v>15968905598</v>
      </c>
      <c r="E20" s="35" t="s">
        <v>168</v>
      </c>
      <c r="F20" s="35" t="s">
        <v>189</v>
      </c>
      <c r="G20" s="35" t="s">
        <v>170</v>
      </c>
      <c r="H20" s="35"/>
      <c r="I20" s="35"/>
      <c r="J20" s="35"/>
      <c r="K20" s="35"/>
      <c r="L20" s="35"/>
      <c r="M20" s="44" t="s">
        <v>357</v>
      </c>
      <c r="N20" s="44" t="s">
        <v>358</v>
      </c>
      <c r="O20" s="39"/>
      <c r="P20" s="39" t="s">
        <v>2057</v>
      </c>
      <c r="Q20" s="39" t="s">
        <v>2046</v>
      </c>
      <c r="R20" s="39"/>
      <c r="S20" s="39"/>
      <c r="T20" s="35"/>
    </row>
    <row r="21" ht="42" customHeight="1" spans="1:20">
      <c r="A21" s="35">
        <v>17</v>
      </c>
      <c r="B21" s="36">
        <v>45956</v>
      </c>
      <c r="C21" s="35" t="s">
        <v>359</v>
      </c>
      <c r="D21" s="35">
        <v>13605748085</v>
      </c>
      <c r="E21" s="35" t="s">
        <v>168</v>
      </c>
      <c r="F21" s="35" t="s">
        <v>189</v>
      </c>
      <c r="G21" s="35" t="s">
        <v>170</v>
      </c>
      <c r="H21" s="35"/>
      <c r="I21" s="35"/>
      <c r="J21" s="35"/>
      <c r="K21" s="35"/>
      <c r="L21" s="35"/>
      <c r="M21" s="45"/>
      <c r="N21" s="45"/>
      <c r="O21" s="39"/>
      <c r="P21" s="39" t="s">
        <v>2057</v>
      </c>
      <c r="Q21" s="39" t="s">
        <v>2046</v>
      </c>
      <c r="R21" s="39"/>
      <c r="S21" s="39"/>
      <c r="T21" s="35"/>
    </row>
    <row r="22" s="19" customFormat="1" ht="20" customHeight="1" spans="1:20">
      <c r="A22" s="46">
        <v>18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8"/>
      <c r="N22" s="47"/>
      <c r="O22" s="49"/>
      <c r="P22" s="49"/>
      <c r="Q22" s="49"/>
      <c r="R22" s="49"/>
      <c r="S22" s="49"/>
      <c r="T22" s="47"/>
    </row>
    <row r="23" ht="50" customHeight="1" spans="1:20">
      <c r="A23" s="35">
        <v>19</v>
      </c>
      <c r="B23" s="36">
        <v>45971</v>
      </c>
      <c r="C23" s="35" t="s">
        <v>377</v>
      </c>
      <c r="D23" s="35">
        <v>18272058555</v>
      </c>
      <c r="E23" s="35" t="s">
        <v>168</v>
      </c>
      <c r="F23" s="35" t="s">
        <v>267</v>
      </c>
      <c r="G23" s="35" t="s">
        <v>210</v>
      </c>
      <c r="H23" s="35"/>
      <c r="I23" s="35"/>
      <c r="J23" s="35"/>
      <c r="K23" s="35"/>
      <c r="L23" s="35"/>
      <c r="M23" s="38" t="s">
        <v>379</v>
      </c>
      <c r="N23" s="35">
        <v>10700</v>
      </c>
      <c r="O23" s="39" t="s">
        <v>2058</v>
      </c>
      <c r="P23" s="39"/>
      <c r="Q23" s="39"/>
      <c r="R23" s="39"/>
      <c r="S23" s="39"/>
      <c r="T23" s="35"/>
    </row>
    <row r="24" ht="51" customHeight="1" spans="1:20">
      <c r="A24" s="35">
        <v>20</v>
      </c>
      <c r="B24" s="36">
        <v>45971</v>
      </c>
      <c r="C24" s="35" t="s">
        <v>320</v>
      </c>
      <c r="D24" s="35">
        <v>13705883612</v>
      </c>
      <c r="E24" s="35" t="s">
        <v>168</v>
      </c>
      <c r="F24" s="35" t="s">
        <v>189</v>
      </c>
      <c r="G24" s="35" t="s">
        <v>210</v>
      </c>
      <c r="H24" s="35"/>
      <c r="I24" s="35"/>
      <c r="J24" s="35"/>
      <c r="K24" s="35"/>
      <c r="L24" s="35"/>
      <c r="M24" s="50" t="s">
        <v>322</v>
      </c>
      <c r="N24" s="35" t="s">
        <v>323</v>
      </c>
      <c r="O24" s="39"/>
      <c r="P24" s="39"/>
      <c r="Q24" s="39"/>
      <c r="R24" s="39"/>
      <c r="S24" s="39"/>
      <c r="T24" s="35"/>
    </row>
    <row r="25" ht="33" customHeight="1" spans="1:20">
      <c r="A25" s="35">
        <v>21</v>
      </c>
      <c r="B25" s="36">
        <v>45972</v>
      </c>
      <c r="C25" s="35" t="s">
        <v>346</v>
      </c>
      <c r="D25" s="35">
        <v>13306612728</v>
      </c>
      <c r="E25" s="35" t="s">
        <v>168</v>
      </c>
      <c r="F25" s="35" t="s">
        <v>189</v>
      </c>
      <c r="G25" s="35" t="s">
        <v>211</v>
      </c>
      <c r="H25" s="35"/>
      <c r="I25" s="35"/>
      <c r="J25" s="35"/>
      <c r="K25" s="35"/>
      <c r="L25" s="35"/>
      <c r="M25" s="50" t="s">
        <v>2059</v>
      </c>
      <c r="N25" s="35">
        <v>2222</v>
      </c>
      <c r="O25" s="39"/>
      <c r="P25" s="39"/>
      <c r="Q25" s="39"/>
      <c r="R25" s="39"/>
      <c r="S25" s="39"/>
      <c r="T25" s="35"/>
    </row>
    <row r="26" ht="33" customHeight="1" spans="1:20">
      <c r="A26" s="35">
        <v>22</v>
      </c>
      <c r="B26" s="36">
        <v>45975</v>
      </c>
      <c r="C26" s="35" t="s">
        <v>2060</v>
      </c>
      <c r="D26" s="35">
        <v>18951653755</v>
      </c>
      <c r="E26" s="35" t="s">
        <v>168</v>
      </c>
      <c r="F26" s="35" t="s">
        <v>189</v>
      </c>
      <c r="G26" s="35" t="s">
        <v>719</v>
      </c>
      <c r="H26" s="35"/>
      <c r="I26" s="35"/>
      <c r="J26" s="35"/>
      <c r="K26" s="35"/>
      <c r="L26" s="35"/>
      <c r="M26" s="50" t="s">
        <v>2059</v>
      </c>
      <c r="N26" s="35">
        <v>1111</v>
      </c>
      <c r="O26" s="39"/>
      <c r="P26" s="39"/>
      <c r="Q26" s="39"/>
      <c r="R26" s="39"/>
      <c r="S26" s="39"/>
      <c r="T26" s="35"/>
    </row>
    <row r="27" ht="20" customHeight="1" spans="1:20">
      <c r="A27" s="35">
        <v>23</v>
      </c>
      <c r="B27" s="36">
        <v>45977</v>
      </c>
      <c r="C27" s="35" t="s">
        <v>416</v>
      </c>
      <c r="D27" s="35">
        <v>15510000769</v>
      </c>
      <c r="E27" s="35" t="s">
        <v>168</v>
      </c>
      <c r="F27" s="35" t="s">
        <v>176</v>
      </c>
      <c r="G27" s="35" t="s">
        <v>177</v>
      </c>
      <c r="H27" s="35"/>
      <c r="I27" s="35"/>
      <c r="J27" s="35"/>
      <c r="K27" s="35"/>
      <c r="L27" s="35"/>
      <c r="M27" s="38" t="s">
        <v>2061</v>
      </c>
      <c r="N27" s="35">
        <v>2330</v>
      </c>
      <c r="O27" s="39"/>
      <c r="P27" s="39"/>
      <c r="Q27" s="38" t="s">
        <v>2061</v>
      </c>
      <c r="R27" s="39"/>
      <c r="S27" s="39"/>
      <c r="T27" s="35"/>
    </row>
    <row r="28" ht="20" customHeight="1" spans="1:20">
      <c r="A28" s="35">
        <v>24</v>
      </c>
      <c r="B28" s="36">
        <v>45975</v>
      </c>
      <c r="C28" s="35" t="s">
        <v>2062</v>
      </c>
      <c r="D28" s="35">
        <v>15088839871</v>
      </c>
      <c r="E28" s="35" t="s">
        <v>315</v>
      </c>
      <c r="F28" s="35" t="s">
        <v>189</v>
      </c>
      <c r="G28" s="35" t="s">
        <v>1229</v>
      </c>
      <c r="H28" s="35"/>
      <c r="I28" s="35"/>
      <c r="J28" s="35"/>
      <c r="K28" s="35"/>
      <c r="L28" s="35"/>
      <c r="M28" s="35" t="s">
        <v>443</v>
      </c>
      <c r="N28" s="35">
        <v>3560</v>
      </c>
      <c r="O28" s="39"/>
      <c r="P28" s="35" t="s">
        <v>443</v>
      </c>
      <c r="Q28" s="39"/>
      <c r="R28" s="39"/>
      <c r="S28" s="39"/>
      <c r="T28" s="35"/>
    </row>
    <row r="29" ht="20" customHeight="1" spans="1:20">
      <c r="A29" s="35">
        <v>25</v>
      </c>
      <c r="B29" s="36">
        <v>45979</v>
      </c>
      <c r="C29" s="35" t="s">
        <v>427</v>
      </c>
      <c r="D29" s="35">
        <v>13463222350</v>
      </c>
      <c r="E29" s="35" t="s">
        <v>315</v>
      </c>
      <c r="F29" s="35" t="s">
        <v>169</v>
      </c>
      <c r="G29" s="35" t="s">
        <v>170</v>
      </c>
      <c r="H29" s="35"/>
      <c r="I29" s="35"/>
      <c r="J29" s="35"/>
      <c r="K29" s="35"/>
      <c r="L29" s="35"/>
      <c r="M29" s="38" t="s">
        <v>431</v>
      </c>
      <c r="N29" s="35">
        <v>2999</v>
      </c>
      <c r="O29" s="39" t="s">
        <v>2063</v>
      </c>
      <c r="P29" s="39"/>
      <c r="Q29" s="39"/>
      <c r="R29" s="39"/>
      <c r="S29" s="39"/>
      <c r="T29" s="35"/>
    </row>
    <row r="30" ht="20" customHeight="1" spans="1:20">
      <c r="A30" s="35">
        <v>26</v>
      </c>
      <c r="B30" s="36">
        <v>45979</v>
      </c>
      <c r="C30" s="35" t="s">
        <v>2064</v>
      </c>
      <c r="D30" s="35">
        <v>18715267176</v>
      </c>
      <c r="E30" s="35" t="s">
        <v>168</v>
      </c>
      <c r="F30" s="35" t="s">
        <v>189</v>
      </c>
      <c r="G30" s="35" t="s">
        <v>248</v>
      </c>
      <c r="H30" s="35"/>
      <c r="I30" s="35"/>
      <c r="J30" s="35"/>
      <c r="K30" s="35"/>
      <c r="L30" s="35"/>
      <c r="M30" s="35" t="s">
        <v>443</v>
      </c>
      <c r="N30" s="35">
        <v>3560</v>
      </c>
      <c r="O30" s="39"/>
      <c r="P30" s="35" t="s">
        <v>443</v>
      </c>
      <c r="Q30" s="39"/>
      <c r="R30" s="39"/>
      <c r="S30" s="39"/>
      <c r="T30" s="35"/>
    </row>
    <row r="31" ht="20" customHeight="1" spans="1:20">
      <c r="A31" s="35">
        <v>27</v>
      </c>
      <c r="B31" s="36">
        <v>45980</v>
      </c>
      <c r="C31" s="35" t="s">
        <v>432</v>
      </c>
      <c r="D31" s="35">
        <v>15968054429</v>
      </c>
      <c r="E31" s="35" t="s">
        <v>433</v>
      </c>
      <c r="F31" s="35" t="s">
        <v>189</v>
      </c>
      <c r="G31" s="35" t="s">
        <v>210</v>
      </c>
      <c r="H31" s="35"/>
      <c r="I31" s="35"/>
      <c r="J31" s="35"/>
      <c r="K31" s="35"/>
      <c r="L31" s="35"/>
      <c r="M31" s="35" t="s">
        <v>438</v>
      </c>
      <c r="N31" s="35">
        <v>14999.5</v>
      </c>
      <c r="O31" s="39" t="s">
        <v>2065</v>
      </c>
      <c r="P31" s="39"/>
      <c r="Q31" s="39"/>
      <c r="R31" s="39"/>
      <c r="S31" s="39"/>
      <c r="T31" s="35"/>
    </row>
    <row r="32" ht="20" customHeight="1" spans="1:20">
      <c r="A32" s="35">
        <v>28</v>
      </c>
      <c r="B32" s="36">
        <v>45984</v>
      </c>
      <c r="C32" s="35" t="s">
        <v>439</v>
      </c>
      <c r="D32" s="35">
        <v>13736006578</v>
      </c>
      <c r="E32" s="35" t="s">
        <v>168</v>
      </c>
      <c r="F32" s="35" t="s">
        <v>189</v>
      </c>
      <c r="G32" s="35" t="s">
        <v>170</v>
      </c>
      <c r="H32" s="35"/>
      <c r="I32" s="35"/>
      <c r="J32" s="35"/>
      <c r="K32" s="35"/>
      <c r="L32" s="35"/>
      <c r="M32" s="35" t="s">
        <v>443</v>
      </c>
      <c r="N32" s="35">
        <v>3560</v>
      </c>
      <c r="O32" s="39"/>
      <c r="P32" s="35" t="s">
        <v>443</v>
      </c>
      <c r="Q32" s="39"/>
      <c r="R32" s="39"/>
      <c r="S32" s="39"/>
      <c r="T32" s="35"/>
    </row>
    <row r="33" ht="20" customHeight="1" spans="1:20">
      <c r="A33" s="35">
        <v>29</v>
      </c>
      <c r="B33" s="36">
        <v>45984</v>
      </c>
      <c r="C33" s="35" t="s">
        <v>2066</v>
      </c>
      <c r="D33" s="35">
        <v>15728009443</v>
      </c>
      <c r="E33" s="35" t="s">
        <v>168</v>
      </c>
      <c r="F33" s="35" t="s">
        <v>1265</v>
      </c>
      <c r="G33" s="35" t="s">
        <v>248</v>
      </c>
      <c r="H33" s="35"/>
      <c r="I33" s="35"/>
      <c r="J33" s="35"/>
      <c r="K33" s="35"/>
      <c r="L33" s="35"/>
      <c r="M33" s="50" t="s">
        <v>2059</v>
      </c>
      <c r="N33" s="35">
        <v>1111</v>
      </c>
      <c r="O33" s="39"/>
      <c r="P33" s="39"/>
      <c r="Q33" s="39"/>
      <c r="R33" s="39"/>
      <c r="S33" s="39"/>
      <c r="T33" s="35"/>
    </row>
    <row r="34" ht="20" customHeight="1" spans="1:20">
      <c r="A34" s="35">
        <v>30</v>
      </c>
      <c r="B34" s="36">
        <v>45987</v>
      </c>
      <c r="C34" s="35" t="s">
        <v>420</v>
      </c>
      <c r="D34" s="35">
        <v>15857656713</v>
      </c>
      <c r="E34" s="35" t="s">
        <v>168</v>
      </c>
      <c r="F34" s="35" t="s">
        <v>189</v>
      </c>
      <c r="G34" s="35" t="s">
        <v>210</v>
      </c>
      <c r="H34" s="35"/>
      <c r="I34" s="35"/>
      <c r="J34" s="35"/>
      <c r="K34" s="35"/>
      <c r="L34" s="35"/>
      <c r="M34" s="35" t="s">
        <v>422</v>
      </c>
      <c r="N34" s="35">
        <v>2160</v>
      </c>
      <c r="O34" s="35" t="s">
        <v>422</v>
      </c>
      <c r="P34" s="39"/>
      <c r="Q34" s="39"/>
      <c r="R34" s="39"/>
      <c r="S34" s="39"/>
      <c r="T34" s="35"/>
    </row>
    <row r="35" s="18" customFormat="1" ht="20" customHeight="1" spans="1:20">
      <c r="A35" s="41">
        <v>31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2"/>
      <c r="N35" s="41"/>
      <c r="O35" s="43"/>
      <c r="P35" s="43"/>
      <c r="Q35" s="43"/>
      <c r="R35" s="43"/>
      <c r="S35" s="43"/>
      <c r="T35" s="41"/>
    </row>
    <row r="36" ht="20" customHeight="1" spans="1:20">
      <c r="A36" s="35">
        <v>32</v>
      </c>
      <c r="B36" s="36">
        <v>45992</v>
      </c>
      <c r="C36" s="35" t="s">
        <v>461</v>
      </c>
      <c r="D36" s="51">
        <v>13867810060</v>
      </c>
      <c r="E36" s="35" t="s">
        <v>159</v>
      </c>
      <c r="F36" s="35" t="s">
        <v>189</v>
      </c>
      <c r="G36" s="35" t="s">
        <v>177</v>
      </c>
      <c r="H36" s="35"/>
      <c r="I36" s="35"/>
      <c r="J36" s="35"/>
      <c r="K36" s="35"/>
      <c r="L36" s="35"/>
      <c r="M36" s="51" t="s">
        <v>463</v>
      </c>
      <c r="N36" s="51">
        <v>6299</v>
      </c>
      <c r="O36" s="51" t="s">
        <v>463</v>
      </c>
      <c r="P36" s="39"/>
      <c r="Q36" s="39"/>
      <c r="R36" s="39"/>
      <c r="S36" s="39"/>
      <c r="T36" s="35"/>
    </row>
    <row r="37" ht="20" customHeight="1" spans="1:20">
      <c r="A37" s="35">
        <v>33</v>
      </c>
      <c r="B37" s="36">
        <v>45992</v>
      </c>
      <c r="C37" s="35" t="s">
        <v>464</v>
      </c>
      <c r="D37" s="52"/>
      <c r="E37" s="35" t="s">
        <v>159</v>
      </c>
      <c r="F37" s="35" t="s">
        <v>189</v>
      </c>
      <c r="G37" s="35" t="s">
        <v>177</v>
      </c>
      <c r="H37" s="35"/>
      <c r="I37" s="35"/>
      <c r="J37" s="35"/>
      <c r="K37" s="35"/>
      <c r="L37" s="35"/>
      <c r="M37" s="52"/>
      <c r="N37" s="52"/>
      <c r="O37" s="52"/>
      <c r="P37" s="39"/>
      <c r="Q37" s="39"/>
      <c r="R37" s="39"/>
      <c r="S37" s="39"/>
      <c r="T37" s="35"/>
    </row>
    <row r="38" ht="20" customHeight="1" spans="1:20">
      <c r="A38" s="35">
        <v>34</v>
      </c>
      <c r="B38" s="36">
        <v>45994</v>
      </c>
      <c r="C38" s="35" t="s">
        <v>2067</v>
      </c>
      <c r="D38" s="35">
        <v>13957882000</v>
      </c>
      <c r="E38" s="35" t="s">
        <v>168</v>
      </c>
      <c r="F38" s="35" t="s">
        <v>189</v>
      </c>
      <c r="G38" s="35" t="s">
        <v>719</v>
      </c>
      <c r="H38" s="35"/>
      <c r="I38" s="35"/>
      <c r="J38" s="35"/>
      <c r="K38" s="35"/>
      <c r="L38" s="35"/>
      <c r="M38" s="35" t="s">
        <v>283</v>
      </c>
      <c r="N38" s="35">
        <v>1946</v>
      </c>
      <c r="O38" s="52"/>
      <c r="P38" s="35" t="s">
        <v>283</v>
      </c>
      <c r="Q38" s="39"/>
      <c r="R38" s="39"/>
      <c r="S38" s="39"/>
      <c r="T38" s="35"/>
    </row>
    <row r="39" ht="20" customHeight="1" spans="1:20">
      <c r="A39" s="35">
        <v>35</v>
      </c>
      <c r="B39" s="36">
        <v>45996</v>
      </c>
      <c r="C39" s="35" t="s">
        <v>400</v>
      </c>
      <c r="D39" s="35">
        <v>13586684886</v>
      </c>
      <c r="E39" s="35" t="s">
        <v>168</v>
      </c>
      <c r="F39" s="35" t="s">
        <v>189</v>
      </c>
      <c r="G39" s="35" t="s">
        <v>177</v>
      </c>
      <c r="H39" s="35"/>
      <c r="I39" s="35"/>
      <c r="J39" s="35"/>
      <c r="K39" s="35"/>
      <c r="L39" s="35"/>
      <c r="M39" s="35" t="s">
        <v>482</v>
      </c>
      <c r="N39" s="35">
        <v>2097</v>
      </c>
      <c r="O39" s="39"/>
      <c r="P39" s="39"/>
      <c r="Q39" s="38" t="s">
        <v>2061</v>
      </c>
      <c r="R39" s="39"/>
      <c r="S39" s="39"/>
      <c r="T39" s="35"/>
    </row>
    <row r="40" ht="20" customHeight="1" spans="1:20">
      <c r="A40" s="35">
        <v>36</v>
      </c>
      <c r="B40" s="36">
        <v>46000</v>
      </c>
      <c r="C40" s="35" t="s">
        <v>473</v>
      </c>
      <c r="D40" s="35">
        <v>13454712748</v>
      </c>
      <c r="E40" s="35" t="s">
        <v>168</v>
      </c>
      <c r="F40" s="35" t="s">
        <v>189</v>
      </c>
      <c r="G40" s="35" t="s">
        <v>177</v>
      </c>
      <c r="H40" s="35"/>
      <c r="I40" s="35"/>
      <c r="J40" s="35"/>
      <c r="K40" s="35"/>
      <c r="L40" s="35"/>
      <c r="M40" s="35" t="s">
        <v>477</v>
      </c>
      <c r="N40" s="35">
        <v>1010</v>
      </c>
      <c r="O40" s="39"/>
      <c r="P40" s="39"/>
      <c r="Q40" s="38" t="s">
        <v>2068</v>
      </c>
      <c r="R40" s="39"/>
      <c r="S40" s="39"/>
      <c r="T40" s="35"/>
    </row>
    <row r="41" ht="20" customHeight="1" spans="1:20">
      <c r="A41" s="35">
        <v>37</v>
      </c>
      <c r="B41" s="36">
        <v>46010</v>
      </c>
      <c r="C41" s="35" t="s">
        <v>480</v>
      </c>
      <c r="D41" s="35">
        <v>13857872458</v>
      </c>
      <c r="E41" s="35" t="s">
        <v>168</v>
      </c>
      <c r="F41" s="35" t="s">
        <v>189</v>
      </c>
      <c r="G41" s="35" t="s">
        <v>211</v>
      </c>
      <c r="H41" s="35"/>
      <c r="I41" s="35"/>
      <c r="J41" s="35"/>
      <c r="K41" s="35"/>
      <c r="L41" s="35"/>
      <c r="M41" s="35" t="s">
        <v>482</v>
      </c>
      <c r="N41" s="35">
        <v>2100</v>
      </c>
      <c r="O41" s="39"/>
      <c r="P41" s="39"/>
      <c r="Q41" s="38" t="s">
        <v>2061</v>
      </c>
      <c r="R41" s="39"/>
      <c r="S41" s="39"/>
      <c r="T41" s="35"/>
    </row>
    <row r="42" spans="1:20">
      <c r="A42" s="35">
        <v>38</v>
      </c>
      <c r="B42" s="36">
        <v>46005</v>
      </c>
      <c r="C42" s="35" t="s">
        <v>2069</v>
      </c>
      <c r="D42" s="35">
        <v>18667809699</v>
      </c>
      <c r="E42" s="35" t="s">
        <v>168</v>
      </c>
      <c r="F42" s="35" t="s">
        <v>189</v>
      </c>
      <c r="G42" s="35" t="s">
        <v>1236</v>
      </c>
      <c r="H42" s="35"/>
      <c r="I42" s="35"/>
      <c r="J42" s="35"/>
      <c r="K42" s="35"/>
      <c r="L42" s="35"/>
      <c r="M42" s="35" t="s">
        <v>1290</v>
      </c>
      <c r="N42" s="35">
        <v>9999</v>
      </c>
      <c r="O42" s="35"/>
      <c r="P42" s="35" t="s">
        <v>1290</v>
      </c>
      <c r="Q42" s="35"/>
      <c r="R42" s="35"/>
      <c r="S42" s="35"/>
      <c r="T42" s="35"/>
    </row>
    <row r="43" ht="31.5" spans="1:20">
      <c r="A43" s="35">
        <v>39</v>
      </c>
      <c r="B43" s="36">
        <v>46017</v>
      </c>
      <c r="C43" s="35" t="s">
        <v>492</v>
      </c>
      <c r="D43" s="35">
        <v>13248595970</v>
      </c>
      <c r="E43" s="35" t="s">
        <v>168</v>
      </c>
      <c r="F43" s="35" t="s">
        <v>189</v>
      </c>
      <c r="G43" s="35" t="s">
        <v>210</v>
      </c>
      <c r="H43" s="35"/>
      <c r="I43" s="35"/>
      <c r="J43" s="35"/>
      <c r="K43" s="35"/>
      <c r="L43" s="35"/>
      <c r="M43" s="38" t="s">
        <v>495</v>
      </c>
      <c r="N43" s="35">
        <v>4388</v>
      </c>
      <c r="O43" s="35"/>
      <c r="P43" s="35" t="s">
        <v>495</v>
      </c>
      <c r="Q43" s="35"/>
      <c r="R43" s="35"/>
      <c r="S43" s="35"/>
      <c r="T43" s="35"/>
    </row>
    <row r="44" spans="1:20">
      <c r="A44" s="35">
        <v>40</v>
      </c>
      <c r="B44" s="36">
        <v>46017</v>
      </c>
      <c r="C44" s="35" t="s">
        <v>498</v>
      </c>
      <c r="D44" s="35">
        <v>19557412001</v>
      </c>
      <c r="E44" s="35" t="s">
        <v>168</v>
      </c>
      <c r="F44" s="35" t="s">
        <v>189</v>
      </c>
      <c r="G44" s="35" t="s">
        <v>170</v>
      </c>
      <c r="H44" s="35"/>
      <c r="I44" s="35"/>
      <c r="J44" s="35"/>
      <c r="K44" s="35"/>
      <c r="L44" s="35"/>
      <c r="M44" s="38" t="s">
        <v>2070</v>
      </c>
      <c r="N44" s="35">
        <v>1582</v>
      </c>
      <c r="O44" s="35"/>
      <c r="P44" s="35"/>
      <c r="Q44" s="35"/>
      <c r="R44" s="35"/>
      <c r="S44" s="35"/>
      <c r="T44" s="35"/>
    </row>
    <row r="45" s="20" customFormat="1" spans="1:20">
      <c r="A45" s="53">
        <v>41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4"/>
      <c r="N45" s="53"/>
      <c r="O45" s="53"/>
      <c r="P45" s="53"/>
      <c r="Q45" s="53"/>
      <c r="R45" s="53"/>
      <c r="S45" s="53"/>
      <c r="T45" s="53"/>
    </row>
    <row r="46" spans="1:20">
      <c r="A46" s="35">
        <v>42</v>
      </c>
      <c r="B46" s="36">
        <v>46025</v>
      </c>
      <c r="C46" s="35" t="s">
        <v>2071</v>
      </c>
      <c r="D46" s="35">
        <v>18968280882</v>
      </c>
      <c r="E46" s="35" t="s">
        <v>168</v>
      </c>
      <c r="F46" s="35" t="s">
        <v>189</v>
      </c>
      <c r="G46" s="35" t="s">
        <v>210</v>
      </c>
      <c r="H46" s="35"/>
      <c r="I46" s="35"/>
      <c r="J46" s="35"/>
      <c r="K46" s="35"/>
      <c r="L46" s="35"/>
      <c r="M46" s="35" t="s">
        <v>471</v>
      </c>
      <c r="N46" s="35">
        <v>3664</v>
      </c>
      <c r="O46" s="35"/>
      <c r="P46" s="35" t="s">
        <v>471</v>
      </c>
      <c r="Q46" s="35"/>
      <c r="R46" s="35"/>
      <c r="S46" s="35"/>
      <c r="T46" s="35"/>
    </row>
    <row r="47" spans="1:20">
      <c r="A47" s="35">
        <v>43</v>
      </c>
      <c r="B47" s="36">
        <v>46029</v>
      </c>
      <c r="C47" s="35" t="s">
        <v>536</v>
      </c>
      <c r="D47" s="35">
        <v>15258585502</v>
      </c>
      <c r="E47" s="35" t="s">
        <v>451</v>
      </c>
      <c r="F47" s="35" t="s">
        <v>189</v>
      </c>
      <c r="G47" s="35" t="s">
        <v>210</v>
      </c>
      <c r="H47" s="35"/>
      <c r="I47" s="35"/>
      <c r="J47" s="35"/>
      <c r="K47" s="35"/>
      <c r="L47" s="35"/>
      <c r="M47" s="35" t="s">
        <v>538</v>
      </c>
      <c r="N47" s="35">
        <v>5705</v>
      </c>
      <c r="O47" s="35" t="s">
        <v>538</v>
      </c>
      <c r="P47" s="35"/>
      <c r="Q47" s="35"/>
      <c r="R47" s="35"/>
      <c r="S47" s="35"/>
      <c r="T47" s="35"/>
    </row>
    <row r="48" spans="1:20">
      <c r="A48" s="35">
        <v>44</v>
      </c>
      <c r="B48" s="36">
        <v>46029</v>
      </c>
      <c r="C48" s="35" t="s">
        <v>539</v>
      </c>
      <c r="D48" s="35">
        <v>18606003171</v>
      </c>
      <c r="E48" s="35" t="s">
        <v>159</v>
      </c>
      <c r="F48" s="35" t="s">
        <v>189</v>
      </c>
      <c r="G48" s="35" t="s">
        <v>211</v>
      </c>
      <c r="H48" s="35"/>
      <c r="I48" s="35"/>
      <c r="J48" s="35"/>
      <c r="K48" s="35"/>
      <c r="L48" s="35"/>
      <c r="M48" s="35" t="s">
        <v>529</v>
      </c>
      <c r="N48" s="35">
        <v>3366</v>
      </c>
      <c r="O48" s="35"/>
      <c r="P48" s="35"/>
      <c r="Q48" s="35"/>
      <c r="R48" s="35"/>
      <c r="S48" s="35"/>
      <c r="T48" s="35"/>
    </row>
    <row r="49" spans="1:20">
      <c r="A49" s="35">
        <v>45</v>
      </c>
      <c r="B49" s="36">
        <v>46034</v>
      </c>
      <c r="C49" s="35" t="s">
        <v>2072</v>
      </c>
      <c r="D49" s="35">
        <v>13666586268</v>
      </c>
      <c r="E49" s="35" t="s">
        <v>168</v>
      </c>
      <c r="F49" s="35" t="s">
        <v>189</v>
      </c>
      <c r="G49" s="35" t="s">
        <v>843</v>
      </c>
      <c r="H49" s="35"/>
      <c r="I49" s="35"/>
      <c r="J49" s="35"/>
      <c r="K49" s="35"/>
      <c r="L49" s="35"/>
      <c r="M49" s="38" t="s">
        <v>443</v>
      </c>
      <c r="N49" s="35">
        <v>3162</v>
      </c>
      <c r="O49" s="35"/>
      <c r="P49" s="38" t="s">
        <v>443</v>
      </c>
      <c r="Q49" s="35"/>
      <c r="R49" s="35"/>
      <c r="S49" s="35"/>
      <c r="T49" s="35"/>
    </row>
    <row r="50" spans="1:20">
      <c r="A50" s="35">
        <v>46</v>
      </c>
      <c r="B50" s="36">
        <v>46038</v>
      </c>
      <c r="C50" s="35" t="s">
        <v>2073</v>
      </c>
      <c r="D50" s="35">
        <v>18667871816</v>
      </c>
      <c r="E50" s="35" t="s">
        <v>773</v>
      </c>
      <c r="F50" s="35" t="s">
        <v>189</v>
      </c>
      <c r="G50" s="35" t="s">
        <v>1236</v>
      </c>
      <c r="H50" s="35"/>
      <c r="I50" s="35"/>
      <c r="J50" s="35"/>
      <c r="K50" s="35"/>
      <c r="L50" s="35"/>
      <c r="M50" s="35" t="s">
        <v>1357</v>
      </c>
      <c r="N50" s="35">
        <v>4399</v>
      </c>
      <c r="O50" s="35"/>
      <c r="P50" s="35" t="s">
        <v>1357</v>
      </c>
      <c r="Q50" s="35"/>
      <c r="R50" s="35"/>
      <c r="S50" s="35"/>
      <c r="T50" s="35"/>
    </row>
    <row r="51" spans="1:20">
      <c r="A51" s="35">
        <v>47</v>
      </c>
      <c r="B51" s="36">
        <v>46041</v>
      </c>
      <c r="C51" s="35" t="s">
        <v>2074</v>
      </c>
      <c r="D51" s="35">
        <v>13685848647</v>
      </c>
      <c r="E51" s="35" t="s">
        <v>725</v>
      </c>
      <c r="F51" s="35" t="s">
        <v>189</v>
      </c>
      <c r="G51" s="35" t="s">
        <v>1236</v>
      </c>
      <c r="H51" s="35"/>
      <c r="I51" s="35"/>
      <c r="J51" s="35"/>
      <c r="K51" s="35"/>
      <c r="L51" s="35"/>
      <c r="M51" s="35" t="s">
        <v>1376</v>
      </c>
      <c r="N51" s="35">
        <v>14916</v>
      </c>
      <c r="O51" s="35"/>
      <c r="P51" s="35" t="s">
        <v>1376</v>
      </c>
      <c r="Q51" s="35"/>
      <c r="R51" s="35"/>
      <c r="S51" s="35"/>
      <c r="T51" s="35"/>
    </row>
    <row r="52" ht="31.5" spans="1:20">
      <c r="A52" s="35">
        <v>48</v>
      </c>
      <c r="B52" s="36">
        <v>46042</v>
      </c>
      <c r="C52" s="35" t="s">
        <v>591</v>
      </c>
      <c r="D52" s="35">
        <v>18600753614</v>
      </c>
      <c r="E52" s="35" t="s">
        <v>188</v>
      </c>
      <c r="F52" s="38" t="s">
        <v>209</v>
      </c>
      <c r="G52" s="35" t="s">
        <v>210</v>
      </c>
      <c r="H52" s="35"/>
      <c r="I52" s="35"/>
      <c r="J52" s="35"/>
      <c r="K52" s="35"/>
      <c r="L52" s="35"/>
      <c r="M52" s="35" t="s">
        <v>593</v>
      </c>
      <c r="N52" s="35">
        <v>3465</v>
      </c>
      <c r="O52" s="35"/>
      <c r="P52" s="35" t="s">
        <v>593</v>
      </c>
      <c r="Q52" s="35"/>
      <c r="R52" s="35"/>
      <c r="S52" s="35"/>
      <c r="T52" s="35"/>
    </row>
    <row r="53" spans="1:20">
      <c r="A53" s="35">
        <v>49</v>
      </c>
      <c r="B53" s="36">
        <v>46046</v>
      </c>
      <c r="C53" s="35" t="s">
        <v>2075</v>
      </c>
      <c r="D53" s="35">
        <v>13011084599</v>
      </c>
      <c r="E53" s="35" t="s">
        <v>315</v>
      </c>
      <c r="F53" s="35" t="s">
        <v>169</v>
      </c>
      <c r="G53" s="35" t="s">
        <v>1236</v>
      </c>
      <c r="H53" s="35"/>
      <c r="I53" s="35"/>
      <c r="J53" s="35"/>
      <c r="K53" s="35"/>
      <c r="L53" s="35"/>
      <c r="M53" s="35" t="s">
        <v>443</v>
      </c>
      <c r="N53" s="35">
        <v>3560</v>
      </c>
      <c r="O53" s="35"/>
      <c r="P53" s="35" t="s">
        <v>443</v>
      </c>
      <c r="Q53" s="35"/>
      <c r="R53" s="35"/>
      <c r="S53" s="35"/>
      <c r="T53" s="35"/>
    </row>
    <row r="54" ht="31.5" spans="1:20">
      <c r="A54" s="35">
        <v>50</v>
      </c>
      <c r="B54" s="36">
        <v>46048</v>
      </c>
      <c r="C54" s="35" t="s">
        <v>571</v>
      </c>
      <c r="D54" s="35">
        <v>15888053382</v>
      </c>
      <c r="E54" s="35" t="s">
        <v>395</v>
      </c>
      <c r="F54" s="35" t="s">
        <v>189</v>
      </c>
      <c r="G54" s="35" t="s">
        <v>211</v>
      </c>
      <c r="H54" s="35"/>
      <c r="I54" s="35"/>
      <c r="J54" s="35"/>
      <c r="K54" s="35"/>
      <c r="L54" s="35"/>
      <c r="M54" s="38" t="s">
        <v>575</v>
      </c>
      <c r="N54" s="35">
        <v>5370</v>
      </c>
      <c r="O54" s="35"/>
      <c r="P54" s="38" t="s">
        <v>575</v>
      </c>
      <c r="Q54" s="35"/>
      <c r="R54" s="35"/>
      <c r="S54" s="35"/>
      <c r="T54" s="35"/>
    </row>
    <row r="55" spans="1:20">
      <c r="A55" s="35">
        <v>51</v>
      </c>
      <c r="B55" s="36">
        <v>46051</v>
      </c>
      <c r="C55" s="35" t="s">
        <v>526</v>
      </c>
      <c r="D55" s="35">
        <v>15888036223</v>
      </c>
      <c r="E55" s="35" t="s">
        <v>168</v>
      </c>
      <c r="F55" s="35" t="s">
        <v>189</v>
      </c>
      <c r="G55" s="35" t="s">
        <v>211</v>
      </c>
      <c r="H55" s="35"/>
      <c r="I55" s="35"/>
      <c r="J55" s="35"/>
      <c r="K55" s="35"/>
      <c r="L55" s="35"/>
      <c r="M55" s="35" t="s">
        <v>529</v>
      </c>
      <c r="N55" s="35">
        <v>1980</v>
      </c>
      <c r="O55" s="35"/>
      <c r="P55" s="35"/>
      <c r="Q55" s="35"/>
      <c r="R55" s="35"/>
      <c r="S55" s="35"/>
      <c r="T55" s="35"/>
    </row>
    <row r="56" spans="1:20">
      <c r="A56" s="35">
        <v>52</v>
      </c>
      <c r="B56" s="36">
        <v>46053</v>
      </c>
      <c r="C56" s="35" t="s">
        <v>361</v>
      </c>
      <c r="D56" s="35">
        <v>18888646125</v>
      </c>
      <c r="E56" s="35" t="s">
        <v>168</v>
      </c>
      <c r="F56" s="35" t="s">
        <v>169</v>
      </c>
      <c r="G56" s="35" t="s">
        <v>210</v>
      </c>
      <c r="H56" s="35"/>
      <c r="I56" s="35"/>
      <c r="J56" s="35"/>
      <c r="K56" s="35"/>
      <c r="L56" s="35"/>
      <c r="M56" s="38" t="s">
        <v>2076</v>
      </c>
      <c r="N56" s="35">
        <v>8578</v>
      </c>
      <c r="O56" s="35"/>
      <c r="P56" s="38" t="s">
        <v>2076</v>
      </c>
      <c r="Q56" s="35"/>
      <c r="R56" s="35"/>
      <c r="S56" s="35"/>
      <c r="T56" s="35"/>
    </row>
    <row r="57" s="18" customFormat="1" spans="1:20">
      <c r="A57" s="41">
        <v>53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2"/>
      <c r="N57" s="41"/>
      <c r="O57" s="41"/>
      <c r="P57" s="41"/>
      <c r="Q57" s="41"/>
      <c r="R57" s="41"/>
      <c r="S57" s="41"/>
      <c r="T57" s="41"/>
    </row>
    <row r="58" ht="20" customHeight="1" spans="1:20">
      <c r="A58" s="35">
        <v>54</v>
      </c>
      <c r="B58" s="36">
        <v>46055</v>
      </c>
      <c r="C58" s="35" t="s">
        <v>630</v>
      </c>
      <c r="D58" s="35">
        <v>13587081391</v>
      </c>
      <c r="E58" s="35" t="s">
        <v>168</v>
      </c>
      <c r="F58" s="35" t="s">
        <v>189</v>
      </c>
      <c r="G58" s="35" t="s">
        <v>210</v>
      </c>
      <c r="H58" s="35"/>
      <c r="I58" s="35"/>
      <c r="J58" s="35"/>
      <c r="K58" s="35"/>
      <c r="L58" s="35"/>
      <c r="M58" s="38" t="s">
        <v>632</v>
      </c>
      <c r="N58" s="35">
        <v>2243</v>
      </c>
      <c r="O58" s="35"/>
      <c r="P58" s="35"/>
      <c r="Q58" s="38" t="s">
        <v>632</v>
      </c>
      <c r="R58" s="35"/>
      <c r="S58" s="35"/>
      <c r="T58" s="35"/>
    </row>
    <row r="59" spans="1:20">
      <c r="A59" s="35">
        <v>55</v>
      </c>
      <c r="B59" s="36">
        <v>46080</v>
      </c>
      <c r="C59" s="35" t="s">
        <v>1413</v>
      </c>
      <c r="D59" s="35">
        <v>19371949047</v>
      </c>
      <c r="E59" s="35" t="s">
        <v>1414</v>
      </c>
      <c r="F59" s="35" t="s">
        <v>189</v>
      </c>
      <c r="G59" s="35" t="s">
        <v>2077</v>
      </c>
      <c r="H59" s="35"/>
      <c r="I59" s="35"/>
      <c r="J59" s="35"/>
      <c r="K59" s="35"/>
      <c r="L59" s="35"/>
      <c r="M59" s="35" t="s">
        <v>1416</v>
      </c>
      <c r="N59" s="35">
        <v>3200</v>
      </c>
      <c r="O59" s="35"/>
      <c r="P59" s="35" t="s">
        <v>1416</v>
      </c>
      <c r="Q59" s="35"/>
      <c r="R59" s="35"/>
      <c r="S59" s="35"/>
      <c r="T59" s="35"/>
    </row>
    <row r="60" s="18" customFormat="1" spans="1:20">
      <c r="A60" s="35">
        <v>56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2"/>
      <c r="N60" s="41"/>
      <c r="O60" s="41"/>
      <c r="P60" s="41"/>
      <c r="Q60" s="41"/>
      <c r="R60" s="41"/>
      <c r="S60" s="41"/>
      <c r="T60" s="41"/>
    </row>
    <row r="61" spans="1:20">
      <c r="A61" s="35">
        <v>57</v>
      </c>
      <c r="B61" s="36">
        <v>46082</v>
      </c>
      <c r="C61" s="35" t="s">
        <v>2078</v>
      </c>
      <c r="D61" s="35">
        <v>18392051358</v>
      </c>
      <c r="E61" s="35" t="s">
        <v>195</v>
      </c>
      <c r="F61" s="35" t="s">
        <v>189</v>
      </c>
      <c r="G61" s="35" t="s">
        <v>1229</v>
      </c>
      <c r="H61" s="35"/>
      <c r="I61" s="35"/>
      <c r="J61" s="35"/>
      <c r="K61" s="35"/>
      <c r="L61" s="35"/>
      <c r="M61" s="38" t="s">
        <v>1357</v>
      </c>
      <c r="N61" s="35">
        <v>4399</v>
      </c>
      <c r="O61" s="35"/>
      <c r="P61" s="38" t="s">
        <v>1357</v>
      </c>
      <c r="Q61" s="35"/>
      <c r="R61" s="35"/>
      <c r="S61" s="35"/>
      <c r="T61" s="35"/>
    </row>
    <row r="62" spans="1:20">
      <c r="A62" s="35">
        <v>58</v>
      </c>
      <c r="B62" s="36">
        <v>46082</v>
      </c>
      <c r="C62" s="35" t="s">
        <v>2079</v>
      </c>
      <c r="D62" s="35">
        <v>18862246120</v>
      </c>
      <c r="E62" s="35" t="s">
        <v>1418</v>
      </c>
      <c r="F62" s="35" t="s">
        <v>189</v>
      </c>
      <c r="G62" s="35" t="s">
        <v>1209</v>
      </c>
      <c r="H62" s="35"/>
      <c r="I62" s="35"/>
      <c r="J62" s="35"/>
      <c r="K62" s="35"/>
      <c r="L62" s="35"/>
      <c r="M62" s="38" t="s">
        <v>2080</v>
      </c>
      <c r="N62" s="35">
        <v>7280</v>
      </c>
      <c r="O62" s="35" t="s">
        <v>2081</v>
      </c>
      <c r="P62" s="35"/>
      <c r="Q62" s="35"/>
      <c r="R62" s="35"/>
      <c r="S62" s="35"/>
      <c r="T62" s="35"/>
    </row>
    <row r="63" spans="1:20">
      <c r="A63" s="35">
        <v>59</v>
      </c>
      <c r="B63" s="36">
        <v>46083</v>
      </c>
      <c r="C63" s="35" t="s">
        <v>633</v>
      </c>
      <c r="D63" s="35">
        <v>13777208155</v>
      </c>
      <c r="E63" s="35" t="s">
        <v>634</v>
      </c>
      <c r="F63" s="35" t="s">
        <v>189</v>
      </c>
      <c r="G63" s="35" t="s">
        <v>2082</v>
      </c>
      <c r="H63" s="35"/>
      <c r="I63" s="35"/>
      <c r="J63" s="35"/>
      <c r="K63" s="35"/>
      <c r="L63" s="35"/>
      <c r="M63" s="38" t="s">
        <v>2083</v>
      </c>
      <c r="N63" s="35">
        <v>3000</v>
      </c>
      <c r="O63" s="35"/>
      <c r="P63" s="35"/>
      <c r="Q63" s="35"/>
      <c r="R63" s="35"/>
      <c r="S63" s="35"/>
      <c r="T63" s="35"/>
    </row>
    <row r="64" spans="1:20">
      <c r="A64" s="35">
        <v>60</v>
      </c>
      <c r="B64" s="36">
        <v>46084</v>
      </c>
      <c r="C64" s="35" t="s">
        <v>652</v>
      </c>
      <c r="D64" s="35">
        <v>13285743582</v>
      </c>
      <c r="E64" s="35" t="s">
        <v>599</v>
      </c>
      <c r="F64" s="35" t="s">
        <v>189</v>
      </c>
      <c r="G64" s="35" t="s">
        <v>177</v>
      </c>
      <c r="H64" s="35"/>
      <c r="I64" s="35"/>
      <c r="J64" s="35"/>
      <c r="K64" s="35"/>
      <c r="L64" s="35"/>
      <c r="M64" s="38" t="s">
        <v>482</v>
      </c>
      <c r="N64" s="35">
        <v>2330</v>
      </c>
      <c r="O64" s="35"/>
      <c r="P64" s="35"/>
      <c r="Q64" s="38" t="s">
        <v>482</v>
      </c>
      <c r="R64" s="35"/>
      <c r="S64" s="35"/>
      <c r="T64" s="35"/>
    </row>
    <row r="65" ht="31.5" spans="1:20">
      <c r="A65" s="35">
        <v>61</v>
      </c>
      <c r="B65" s="36">
        <v>46084</v>
      </c>
      <c r="C65" s="35" t="s">
        <v>661</v>
      </c>
      <c r="D65" s="35">
        <v>18868183006</v>
      </c>
      <c r="E65" s="35" t="s">
        <v>315</v>
      </c>
      <c r="F65" s="35" t="s">
        <v>189</v>
      </c>
      <c r="G65" s="35" t="s">
        <v>211</v>
      </c>
      <c r="H65" s="35"/>
      <c r="I65" s="35"/>
      <c r="J65" s="35"/>
      <c r="K65" s="35"/>
      <c r="L65" s="35"/>
      <c r="M65" s="38" t="s">
        <v>664</v>
      </c>
      <c r="N65" s="35">
        <v>1931.5</v>
      </c>
      <c r="O65" s="35"/>
      <c r="P65" s="35" t="s">
        <v>2042</v>
      </c>
      <c r="Q65" s="35"/>
      <c r="R65" s="35"/>
      <c r="S65" s="35"/>
      <c r="T65" s="35"/>
    </row>
    <row r="66" spans="1:20">
      <c r="A66" s="35">
        <v>62</v>
      </c>
      <c r="B66" s="36">
        <v>46085</v>
      </c>
      <c r="C66" s="35" t="s">
        <v>2084</v>
      </c>
      <c r="D66" s="35">
        <v>15858193264</v>
      </c>
      <c r="E66" s="35" t="s">
        <v>1438</v>
      </c>
      <c r="F66" s="35" t="s">
        <v>189</v>
      </c>
      <c r="G66" s="35" t="s">
        <v>1209</v>
      </c>
      <c r="H66" s="35"/>
      <c r="I66" s="35"/>
      <c r="J66" s="35"/>
      <c r="K66" s="35"/>
      <c r="L66" s="35"/>
      <c r="M66" s="38" t="s">
        <v>2085</v>
      </c>
      <c r="N66" s="35">
        <v>6999</v>
      </c>
      <c r="O66" s="35" t="s">
        <v>538</v>
      </c>
      <c r="P66" s="35"/>
      <c r="Q66" s="35"/>
      <c r="R66" s="35"/>
      <c r="S66" s="35"/>
      <c r="T66" s="35"/>
    </row>
    <row r="67" spans="1:20">
      <c r="A67" s="35">
        <v>63</v>
      </c>
      <c r="B67" s="36">
        <v>46093</v>
      </c>
      <c r="C67" s="35" t="s">
        <v>2086</v>
      </c>
      <c r="D67" s="35">
        <v>15080028777</v>
      </c>
      <c r="E67" s="35" t="s">
        <v>693</v>
      </c>
      <c r="F67" s="35" t="s">
        <v>176</v>
      </c>
      <c r="G67" s="35" t="s">
        <v>248</v>
      </c>
      <c r="H67" s="35"/>
      <c r="I67" s="35"/>
      <c r="J67" s="35"/>
      <c r="K67" s="35"/>
      <c r="L67" s="35"/>
      <c r="M67" s="38" t="s">
        <v>443</v>
      </c>
      <c r="N67" s="35">
        <v>3560</v>
      </c>
      <c r="O67" s="35"/>
      <c r="P67" s="38" t="s">
        <v>443</v>
      </c>
      <c r="Q67" s="35"/>
      <c r="R67" s="35"/>
      <c r="S67" s="35"/>
      <c r="T67" s="35"/>
    </row>
    <row r="68" spans="1:20">
      <c r="A68" s="35">
        <v>64</v>
      </c>
      <c r="B68" s="36">
        <v>46093</v>
      </c>
      <c r="C68" s="35" t="s">
        <v>2087</v>
      </c>
      <c r="D68" s="35">
        <v>15657437821</v>
      </c>
      <c r="E68" s="35" t="s">
        <v>693</v>
      </c>
      <c r="F68" s="35" t="s">
        <v>176</v>
      </c>
      <c r="G68" s="35" t="s">
        <v>248</v>
      </c>
      <c r="H68" s="35"/>
      <c r="I68" s="35"/>
      <c r="J68" s="35"/>
      <c r="K68" s="35"/>
      <c r="L68" s="35"/>
      <c r="M68" s="38" t="s">
        <v>443</v>
      </c>
      <c r="N68" s="35">
        <v>3560</v>
      </c>
      <c r="O68" s="35"/>
      <c r="P68" s="38" t="s">
        <v>443</v>
      </c>
      <c r="Q68" s="35"/>
      <c r="R68" s="35"/>
      <c r="S68" s="35"/>
      <c r="T68" s="35"/>
    </row>
    <row r="69" spans="1:20">
      <c r="A69" s="35">
        <v>65</v>
      </c>
      <c r="B69" s="36">
        <v>46094</v>
      </c>
      <c r="C69" s="35" t="s">
        <v>644</v>
      </c>
      <c r="D69" s="35">
        <v>13738866230</v>
      </c>
      <c r="E69" s="35" t="s">
        <v>645</v>
      </c>
      <c r="F69" s="35" t="s">
        <v>189</v>
      </c>
      <c r="G69" s="35" t="s">
        <v>211</v>
      </c>
      <c r="H69" s="35"/>
      <c r="I69" s="35"/>
      <c r="J69" s="35"/>
      <c r="K69" s="35"/>
      <c r="L69" s="35"/>
      <c r="M69" s="38" t="s">
        <v>647</v>
      </c>
      <c r="N69" s="35">
        <v>3281</v>
      </c>
      <c r="O69" s="35"/>
      <c r="P69" s="38" t="s">
        <v>647</v>
      </c>
      <c r="Q69" s="35"/>
      <c r="R69" s="35"/>
      <c r="S69" s="35"/>
      <c r="T69" s="35"/>
    </row>
    <row r="70" spans="1:20">
      <c r="A70" s="35">
        <v>66</v>
      </c>
      <c r="B70" s="36">
        <v>46095</v>
      </c>
      <c r="C70" s="35" t="s">
        <v>2088</v>
      </c>
      <c r="D70" s="35">
        <v>13736186805</v>
      </c>
      <c r="E70" s="35" t="s">
        <v>1480</v>
      </c>
      <c r="F70" s="35" t="s">
        <v>704</v>
      </c>
      <c r="G70" s="35" t="s">
        <v>248</v>
      </c>
      <c r="H70" s="35"/>
      <c r="I70" s="35"/>
      <c r="J70" s="35"/>
      <c r="K70" s="35"/>
      <c r="L70" s="35"/>
      <c r="M70" s="35" t="s">
        <v>1483</v>
      </c>
      <c r="N70" s="35">
        <v>6585</v>
      </c>
      <c r="O70" s="35"/>
      <c r="P70" s="35" t="s">
        <v>1483</v>
      </c>
      <c r="Q70" s="35"/>
      <c r="R70" s="35"/>
      <c r="S70" s="35"/>
      <c r="T70" s="35"/>
    </row>
    <row r="71" spans="1:20">
      <c r="A71" s="35">
        <v>67</v>
      </c>
      <c r="B71" s="36">
        <v>46096</v>
      </c>
      <c r="C71" s="35" t="s">
        <v>484</v>
      </c>
      <c r="D71" s="35">
        <v>13245660630</v>
      </c>
      <c r="E71" s="35" t="s">
        <v>1662</v>
      </c>
      <c r="F71" s="35" t="s">
        <v>169</v>
      </c>
      <c r="G71" s="35" t="s">
        <v>210</v>
      </c>
      <c r="H71" s="35"/>
      <c r="I71" s="35"/>
      <c r="J71" s="35"/>
      <c r="K71" s="35"/>
      <c r="L71" s="35"/>
      <c r="M71" s="38" t="s">
        <v>488</v>
      </c>
      <c r="N71" s="35">
        <v>3200</v>
      </c>
      <c r="O71" s="35"/>
      <c r="P71" s="35"/>
      <c r="Q71" s="38" t="s">
        <v>488</v>
      </c>
      <c r="R71" s="35"/>
      <c r="S71" s="35"/>
      <c r="T71" s="35"/>
    </row>
    <row r="72" spans="1:20">
      <c r="A72" s="35">
        <v>68</v>
      </c>
      <c r="B72" s="36">
        <v>46098</v>
      </c>
      <c r="C72" s="35" t="s">
        <v>2089</v>
      </c>
      <c r="D72" s="35">
        <v>13780078544</v>
      </c>
      <c r="E72" s="35" t="s">
        <v>315</v>
      </c>
      <c r="F72" s="35" t="s">
        <v>189</v>
      </c>
      <c r="G72" s="35" t="s">
        <v>248</v>
      </c>
      <c r="H72" s="35"/>
      <c r="I72" s="35"/>
      <c r="J72" s="35"/>
      <c r="K72" s="35"/>
      <c r="L72" s="35"/>
      <c r="M72" s="38" t="s">
        <v>443</v>
      </c>
      <c r="N72" s="35">
        <v>3560</v>
      </c>
      <c r="O72" s="35"/>
      <c r="P72" s="38" t="s">
        <v>443</v>
      </c>
      <c r="Q72" s="35"/>
      <c r="R72" s="35"/>
      <c r="S72" s="35"/>
      <c r="T72" s="35"/>
    </row>
    <row r="73" spans="1:20">
      <c r="A73" s="35">
        <v>69</v>
      </c>
      <c r="B73" s="36">
        <v>46098</v>
      </c>
      <c r="C73" s="35" t="s">
        <v>624</v>
      </c>
      <c r="D73" s="35">
        <v>13957805337</v>
      </c>
      <c r="E73" s="35" t="s">
        <v>423</v>
      </c>
      <c r="F73" s="35" t="s">
        <v>169</v>
      </c>
      <c r="G73" s="35" t="s">
        <v>211</v>
      </c>
      <c r="H73" s="35"/>
      <c r="I73" s="35"/>
      <c r="J73" s="35"/>
      <c r="K73" s="35"/>
      <c r="L73" s="35"/>
      <c r="M73" s="38" t="s">
        <v>422</v>
      </c>
      <c r="N73" s="35">
        <v>2160</v>
      </c>
      <c r="O73" s="35"/>
      <c r="P73" s="35"/>
      <c r="Q73" s="38" t="s">
        <v>422</v>
      </c>
      <c r="R73" s="35"/>
      <c r="S73" s="35"/>
      <c r="T73" s="35"/>
    </row>
    <row r="74" spans="1:20">
      <c r="A74" s="35">
        <v>70</v>
      </c>
      <c r="B74" s="36">
        <v>46099</v>
      </c>
      <c r="C74" s="35" t="s">
        <v>710</v>
      </c>
      <c r="D74" s="35">
        <v>15906582258</v>
      </c>
      <c r="E74" s="35" t="s">
        <v>711</v>
      </c>
      <c r="F74" s="35" t="s">
        <v>704</v>
      </c>
      <c r="G74" s="35" t="s">
        <v>210</v>
      </c>
      <c r="H74" s="35"/>
      <c r="I74" s="35"/>
      <c r="J74" s="35"/>
      <c r="K74" s="35"/>
      <c r="L74" s="35"/>
      <c r="M74" s="38" t="s">
        <v>752</v>
      </c>
      <c r="N74" s="35">
        <v>8997</v>
      </c>
      <c r="O74" s="38" t="s">
        <v>752</v>
      </c>
      <c r="P74" s="35"/>
      <c r="Q74" s="35"/>
      <c r="R74" s="35"/>
      <c r="S74" s="35"/>
      <c r="T74" s="35"/>
    </row>
    <row r="75" spans="1:20">
      <c r="A75" s="35">
        <v>71</v>
      </c>
      <c r="B75" s="36">
        <v>46101</v>
      </c>
      <c r="C75" s="35" t="s">
        <v>2090</v>
      </c>
      <c r="D75" s="35">
        <v>18768579343</v>
      </c>
      <c r="E75" s="35" t="s">
        <v>860</v>
      </c>
      <c r="F75" s="35" t="s">
        <v>189</v>
      </c>
      <c r="G75" s="35" t="s">
        <v>1209</v>
      </c>
      <c r="H75" s="35"/>
      <c r="I75" s="35"/>
      <c r="J75" s="35"/>
      <c r="K75" s="35"/>
      <c r="L75" s="35"/>
      <c r="M75" s="38" t="s">
        <v>1474</v>
      </c>
      <c r="N75" s="35">
        <v>5570</v>
      </c>
      <c r="O75" s="35"/>
      <c r="P75" s="38" t="s">
        <v>1474</v>
      </c>
      <c r="Q75" s="35"/>
      <c r="R75" s="35"/>
      <c r="S75" s="35"/>
      <c r="T75" s="35"/>
    </row>
    <row r="76" spans="1:20">
      <c r="A76" s="35">
        <v>72</v>
      </c>
      <c r="B76" s="36">
        <v>46102</v>
      </c>
      <c r="C76" s="35" t="s">
        <v>2091</v>
      </c>
      <c r="D76" s="35">
        <v>13071977623</v>
      </c>
      <c r="E76" s="35" t="s">
        <v>1514</v>
      </c>
      <c r="F76" s="35" t="s">
        <v>189</v>
      </c>
      <c r="G76" s="35" t="s">
        <v>248</v>
      </c>
      <c r="H76" s="35"/>
      <c r="I76" s="35"/>
      <c r="J76" s="35"/>
      <c r="K76" s="35"/>
      <c r="L76" s="35"/>
      <c r="M76" s="38" t="s">
        <v>283</v>
      </c>
      <c r="N76" s="35">
        <v>1946</v>
      </c>
      <c r="O76" s="35"/>
      <c r="P76" s="38" t="s">
        <v>283</v>
      </c>
      <c r="Q76" s="35"/>
      <c r="R76" s="35"/>
      <c r="S76" s="35"/>
      <c r="T76" s="35"/>
    </row>
    <row r="77" spans="1:20">
      <c r="A77" s="35">
        <v>73</v>
      </c>
      <c r="B77" s="36">
        <v>46109</v>
      </c>
      <c r="C77" s="35" t="s">
        <v>749</v>
      </c>
      <c r="D77" s="35">
        <v>18758820963</v>
      </c>
      <c r="E77" s="35" t="s">
        <v>750</v>
      </c>
      <c r="F77" s="35" t="s">
        <v>189</v>
      </c>
      <c r="G77" s="35" t="s">
        <v>2092</v>
      </c>
      <c r="H77" s="35"/>
      <c r="I77" s="35"/>
      <c r="J77" s="35"/>
      <c r="K77" s="35"/>
      <c r="L77" s="35"/>
      <c r="M77" s="35" t="s">
        <v>752</v>
      </c>
      <c r="N77" s="35">
        <v>8997</v>
      </c>
      <c r="O77" s="35" t="s">
        <v>752</v>
      </c>
      <c r="P77" s="35"/>
      <c r="Q77" s="35"/>
      <c r="R77" s="35"/>
      <c r="S77" s="35"/>
      <c r="T77" s="35"/>
    </row>
    <row r="78" spans="1:20">
      <c r="A78" s="35">
        <v>74</v>
      </c>
      <c r="B78" s="36">
        <v>46111</v>
      </c>
      <c r="C78" s="35" t="s">
        <v>740</v>
      </c>
      <c r="D78" s="35">
        <v>13184311225</v>
      </c>
      <c r="E78" s="35" t="s">
        <v>315</v>
      </c>
      <c r="F78" s="35" t="s">
        <v>189</v>
      </c>
      <c r="G78" s="35" t="s">
        <v>719</v>
      </c>
      <c r="H78" s="35"/>
      <c r="I78" s="35"/>
      <c r="J78" s="35"/>
      <c r="K78" s="35"/>
      <c r="L78" s="35"/>
      <c r="M78" s="38" t="s">
        <v>488</v>
      </c>
      <c r="N78" s="35">
        <v>3200</v>
      </c>
      <c r="O78" s="35"/>
      <c r="P78" s="35"/>
      <c r="Q78" s="38" t="s">
        <v>488</v>
      </c>
      <c r="R78" s="35"/>
      <c r="S78" s="35"/>
      <c r="T78" s="35"/>
    </row>
    <row r="79" spans="1:20">
      <c r="A79" s="35">
        <v>75</v>
      </c>
      <c r="B79" s="36">
        <v>46112</v>
      </c>
      <c r="C79" s="35" t="s">
        <v>2093</v>
      </c>
      <c r="D79" s="35">
        <v>13176508679</v>
      </c>
      <c r="E79" s="35" t="s">
        <v>581</v>
      </c>
      <c r="F79" s="35" t="s">
        <v>169</v>
      </c>
      <c r="G79" s="35" t="s">
        <v>1209</v>
      </c>
      <c r="H79" s="35"/>
      <c r="I79" s="35"/>
      <c r="J79" s="35"/>
      <c r="K79" s="35"/>
      <c r="L79" s="35"/>
      <c r="M79" s="35" t="s">
        <v>1548</v>
      </c>
      <c r="N79" s="35">
        <v>10999</v>
      </c>
      <c r="O79" s="35" t="s">
        <v>1548</v>
      </c>
      <c r="P79" s="35"/>
      <c r="Q79" s="35"/>
      <c r="R79" s="35"/>
      <c r="S79" s="35"/>
      <c r="T79" s="35"/>
    </row>
    <row r="80" spans="1:20">
      <c r="A80" s="35">
        <v>76</v>
      </c>
      <c r="B80" s="36">
        <v>46112</v>
      </c>
      <c r="C80" s="35" t="s">
        <v>732</v>
      </c>
      <c r="D80" s="35">
        <v>17688503373</v>
      </c>
      <c r="E80" s="35" t="s">
        <v>315</v>
      </c>
      <c r="F80" s="35" t="s">
        <v>189</v>
      </c>
      <c r="G80" s="35" t="s">
        <v>210</v>
      </c>
      <c r="H80" s="35"/>
      <c r="I80" s="35"/>
      <c r="J80" s="35"/>
      <c r="K80" s="35"/>
      <c r="L80" s="35"/>
      <c r="M80" s="38" t="s">
        <v>1536</v>
      </c>
      <c r="N80" s="35">
        <v>3281</v>
      </c>
      <c r="O80" s="35"/>
      <c r="P80" s="38" t="s">
        <v>1536</v>
      </c>
      <c r="Q80" s="35"/>
      <c r="R80" s="35"/>
      <c r="S80" s="35"/>
      <c r="T80" s="35"/>
    </row>
    <row r="81" s="20" customFormat="1" spans="1:20">
      <c r="A81" s="53">
        <v>77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4"/>
      <c r="N81" s="53"/>
      <c r="O81" s="53"/>
      <c r="P81" s="53"/>
      <c r="Q81" s="53"/>
      <c r="R81" s="53"/>
      <c r="S81" s="53"/>
      <c r="T81" s="53"/>
    </row>
    <row r="82" spans="1:20">
      <c r="A82" s="35">
        <v>78</v>
      </c>
      <c r="B82" s="36">
        <v>46115</v>
      </c>
      <c r="C82" s="35" t="s">
        <v>2094</v>
      </c>
      <c r="D82" s="35">
        <v>18368457396</v>
      </c>
      <c r="E82" s="35" t="s">
        <v>1535</v>
      </c>
      <c r="F82" s="35" t="s">
        <v>189</v>
      </c>
      <c r="G82" s="35" t="s">
        <v>1236</v>
      </c>
      <c r="H82" s="35"/>
      <c r="I82" s="35"/>
      <c r="J82" s="35"/>
      <c r="K82" s="35"/>
      <c r="L82" s="35"/>
      <c r="M82" s="38" t="s">
        <v>1536</v>
      </c>
      <c r="N82" s="35">
        <v>3281</v>
      </c>
      <c r="O82" s="35"/>
      <c r="P82" s="38" t="s">
        <v>1536</v>
      </c>
      <c r="Q82" s="35"/>
      <c r="R82" s="35"/>
      <c r="S82" s="35"/>
      <c r="T82" s="35"/>
    </row>
    <row r="83" spans="1:20">
      <c r="A83" s="35">
        <v>79</v>
      </c>
      <c r="B83" s="36">
        <v>46120</v>
      </c>
      <c r="C83" s="35" t="s">
        <v>817</v>
      </c>
      <c r="D83" s="35">
        <v>13655712334</v>
      </c>
      <c r="E83" s="35" t="s">
        <v>315</v>
      </c>
      <c r="F83" s="35" t="s">
        <v>189</v>
      </c>
      <c r="G83" s="35" t="s">
        <v>719</v>
      </c>
      <c r="H83" s="35"/>
      <c r="I83" s="35"/>
      <c r="J83" s="35"/>
      <c r="K83" s="35"/>
      <c r="L83" s="35"/>
      <c r="M83" s="38" t="s">
        <v>283</v>
      </c>
      <c r="N83" s="35">
        <v>1946</v>
      </c>
      <c r="O83" s="35"/>
      <c r="P83" s="38" t="s">
        <v>283</v>
      </c>
      <c r="Q83" s="35"/>
      <c r="R83" s="35"/>
      <c r="S83" s="35"/>
      <c r="T83" s="35"/>
    </row>
    <row r="84" spans="1:20">
      <c r="A84" s="35">
        <v>80</v>
      </c>
      <c r="B84" s="36">
        <v>46128</v>
      </c>
      <c r="C84" s="35" t="s">
        <v>2095</v>
      </c>
      <c r="D84" s="35">
        <v>15658471696</v>
      </c>
      <c r="E84" s="35" t="s">
        <v>159</v>
      </c>
      <c r="F84" s="35" t="s">
        <v>189</v>
      </c>
      <c r="G84" s="35" t="s">
        <v>843</v>
      </c>
      <c r="H84" s="35"/>
      <c r="I84" s="35"/>
      <c r="J84" s="35"/>
      <c r="K84" s="35"/>
      <c r="L84" s="35"/>
      <c r="M84" s="35" t="s">
        <v>986</v>
      </c>
      <c r="N84" s="35">
        <v>5999</v>
      </c>
      <c r="O84" s="35"/>
      <c r="P84" s="35" t="s">
        <v>986</v>
      </c>
      <c r="Q84" s="35"/>
      <c r="R84" s="35"/>
      <c r="S84" s="35"/>
      <c r="T84" s="35"/>
    </row>
    <row r="85" spans="1:20">
      <c r="A85" s="35">
        <v>81</v>
      </c>
      <c r="B85" s="36">
        <v>46129</v>
      </c>
      <c r="C85" s="35" t="s">
        <v>847</v>
      </c>
      <c r="D85" s="35">
        <v>15967842817</v>
      </c>
      <c r="E85" s="35" t="s">
        <v>831</v>
      </c>
      <c r="F85" s="35" t="s">
        <v>189</v>
      </c>
      <c r="G85" s="35" t="s">
        <v>719</v>
      </c>
      <c r="H85" s="35"/>
      <c r="I85" s="35"/>
      <c r="J85" s="35"/>
      <c r="K85" s="35"/>
      <c r="L85" s="35"/>
      <c r="M85" s="38" t="s">
        <v>1213</v>
      </c>
      <c r="N85" s="35">
        <v>4660</v>
      </c>
      <c r="O85" s="35"/>
      <c r="P85" s="38" t="s">
        <v>1213</v>
      </c>
      <c r="Q85" s="35"/>
      <c r="R85" s="35"/>
      <c r="S85" s="35"/>
      <c r="T85" s="35"/>
    </row>
    <row r="86" ht="46" customHeight="1" spans="1:20">
      <c r="A86" s="35">
        <v>82</v>
      </c>
      <c r="B86" s="36">
        <v>46131</v>
      </c>
      <c r="C86" s="35" t="s">
        <v>246</v>
      </c>
      <c r="D86" s="35">
        <v>13792140415</v>
      </c>
      <c r="E86" s="35" t="s">
        <v>159</v>
      </c>
      <c r="F86" s="35" t="s">
        <v>189</v>
      </c>
      <c r="G86" s="35" t="s">
        <v>210</v>
      </c>
      <c r="H86" s="35"/>
      <c r="I86" s="35"/>
      <c r="J86" s="35"/>
      <c r="K86" s="35"/>
      <c r="L86" s="35"/>
      <c r="M86" s="38" t="s">
        <v>845</v>
      </c>
      <c r="N86" s="38" t="s">
        <v>846</v>
      </c>
      <c r="O86" s="38" t="s">
        <v>845</v>
      </c>
      <c r="P86" s="35"/>
      <c r="Q86" s="35"/>
      <c r="R86" s="35"/>
      <c r="S86" s="35"/>
      <c r="T86" s="35"/>
    </row>
    <row r="87" spans="1:20">
      <c r="A87" s="35">
        <v>83</v>
      </c>
      <c r="B87" s="36">
        <v>46134</v>
      </c>
      <c r="C87" s="35" t="s">
        <v>851</v>
      </c>
      <c r="D87" s="35">
        <v>13586940234</v>
      </c>
      <c r="E87" s="35" t="s">
        <v>315</v>
      </c>
      <c r="F87" s="35" t="s">
        <v>189</v>
      </c>
      <c r="G87" s="35" t="s">
        <v>719</v>
      </c>
      <c r="H87" s="35"/>
      <c r="I87" s="35"/>
      <c r="J87" s="35"/>
      <c r="K87" s="35"/>
      <c r="L87" s="35"/>
      <c r="M87" s="38" t="s">
        <v>283</v>
      </c>
      <c r="N87" s="35">
        <v>1946</v>
      </c>
      <c r="O87" s="35"/>
      <c r="P87" s="38" t="s">
        <v>283</v>
      </c>
      <c r="Q87" s="35"/>
      <c r="R87" s="35"/>
      <c r="S87" s="35"/>
      <c r="T87" s="35"/>
    </row>
    <row r="88" spans="1:20">
      <c r="A88" s="35">
        <v>84</v>
      </c>
      <c r="B88" s="36">
        <v>46134</v>
      </c>
      <c r="C88" s="35" t="s">
        <v>812</v>
      </c>
      <c r="D88" s="35">
        <v>13884459237</v>
      </c>
      <c r="E88" s="35" t="s">
        <v>726</v>
      </c>
      <c r="F88" s="35" t="s">
        <v>189</v>
      </c>
      <c r="G88" s="35" t="s">
        <v>211</v>
      </c>
      <c r="H88" s="35"/>
      <c r="I88" s="35"/>
      <c r="J88" s="35"/>
      <c r="K88" s="35"/>
      <c r="L88" s="35"/>
      <c r="M88" s="38" t="s">
        <v>283</v>
      </c>
      <c r="N88" s="35">
        <v>1946</v>
      </c>
      <c r="O88" s="35"/>
      <c r="P88" s="38" t="s">
        <v>283</v>
      </c>
      <c r="Q88" s="35"/>
      <c r="R88" s="35"/>
      <c r="S88" s="35"/>
      <c r="T88" s="35"/>
    </row>
    <row r="89" spans="1:20">
      <c r="A89" s="35">
        <v>85</v>
      </c>
      <c r="B89" s="36">
        <v>46136</v>
      </c>
      <c r="C89" s="35" t="s">
        <v>2096</v>
      </c>
      <c r="D89" s="35">
        <v>19555136245</v>
      </c>
      <c r="E89" s="35" t="s">
        <v>1508</v>
      </c>
      <c r="F89" s="35" t="s">
        <v>169</v>
      </c>
      <c r="G89" s="35" t="s">
        <v>1236</v>
      </c>
      <c r="H89" s="35"/>
      <c r="I89" s="35"/>
      <c r="J89" s="35"/>
      <c r="K89" s="35"/>
      <c r="L89" s="35"/>
      <c r="M89" s="38" t="s">
        <v>283</v>
      </c>
      <c r="N89" s="35">
        <v>1946</v>
      </c>
      <c r="O89" s="35"/>
      <c r="P89" s="38" t="s">
        <v>283</v>
      </c>
      <c r="Q89" s="35"/>
      <c r="R89" s="35"/>
      <c r="S89" s="35"/>
      <c r="T89" s="35"/>
    </row>
    <row r="90" s="20" customFormat="1" spans="1:20">
      <c r="A90" s="35">
        <v>86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4"/>
      <c r="N90" s="53"/>
      <c r="O90" s="53"/>
      <c r="P90" s="53"/>
      <c r="Q90" s="53"/>
      <c r="R90" s="53"/>
      <c r="S90" s="53"/>
      <c r="T90" s="53"/>
    </row>
    <row r="91" spans="1:20">
      <c r="A91" s="35">
        <v>87</v>
      </c>
      <c r="B91" s="36">
        <v>46144</v>
      </c>
      <c r="C91" s="35" t="s">
        <v>2097</v>
      </c>
      <c r="D91" s="35">
        <v>13216634766</v>
      </c>
      <c r="E91" s="35" t="s">
        <v>725</v>
      </c>
      <c r="F91" s="35" t="s">
        <v>169</v>
      </c>
      <c r="G91" s="35" t="s">
        <v>684</v>
      </c>
      <c r="H91" s="35"/>
      <c r="I91" s="35"/>
      <c r="J91" s="35"/>
      <c r="K91" s="35"/>
      <c r="L91" s="35"/>
      <c r="M91" s="38" t="s">
        <v>443</v>
      </c>
      <c r="N91" s="35">
        <v>3560</v>
      </c>
      <c r="O91" s="35"/>
      <c r="P91" s="38" t="s">
        <v>443</v>
      </c>
      <c r="Q91" s="35"/>
      <c r="R91" s="35"/>
      <c r="S91" s="35"/>
      <c r="T91" s="35"/>
    </row>
    <row r="92" spans="1:20">
      <c r="A92" s="35">
        <v>88</v>
      </c>
      <c r="B92" s="36">
        <v>46148</v>
      </c>
      <c r="C92" s="35" t="s">
        <v>2098</v>
      </c>
      <c r="D92" s="35">
        <v>17508500009</v>
      </c>
      <c r="E92" s="35" t="s">
        <v>725</v>
      </c>
      <c r="F92" s="35" t="s">
        <v>189</v>
      </c>
      <c r="G92" s="35" t="s">
        <v>248</v>
      </c>
      <c r="H92" s="35"/>
      <c r="I92" s="35"/>
      <c r="J92" s="35"/>
      <c r="K92" s="35"/>
      <c r="L92" s="35"/>
      <c r="M92" s="38" t="s">
        <v>1557</v>
      </c>
      <c r="N92" s="35">
        <v>1980</v>
      </c>
      <c r="O92" s="35"/>
      <c r="P92" s="38"/>
      <c r="Q92" s="35"/>
      <c r="R92" s="35"/>
      <c r="S92" s="35"/>
      <c r="T92" s="35"/>
    </row>
    <row r="93" spans="1:20">
      <c r="A93" s="35">
        <v>89</v>
      </c>
      <c r="B93" s="36">
        <v>46149</v>
      </c>
      <c r="C93" s="35" t="s">
        <v>2099</v>
      </c>
      <c r="D93" s="35">
        <v>15858477477</v>
      </c>
      <c r="E93" s="35" t="s">
        <v>188</v>
      </c>
      <c r="F93" s="35" t="s">
        <v>189</v>
      </c>
      <c r="G93" s="35" t="s">
        <v>164</v>
      </c>
      <c r="H93" s="35"/>
      <c r="I93" s="35"/>
      <c r="J93" s="35"/>
      <c r="K93" s="35"/>
      <c r="L93" s="35"/>
      <c r="M93" s="38" t="s">
        <v>2100</v>
      </c>
      <c r="N93" s="35">
        <v>20400</v>
      </c>
      <c r="O93" s="35"/>
      <c r="P93" s="38"/>
      <c r="Q93" s="35"/>
      <c r="R93" s="35"/>
      <c r="S93" s="35"/>
      <c r="T93" s="35"/>
    </row>
    <row r="94" spans="1:20">
      <c r="A94" s="35">
        <v>90</v>
      </c>
      <c r="B94" s="36">
        <v>46150</v>
      </c>
      <c r="C94" s="35" t="s">
        <v>407</v>
      </c>
      <c r="D94" s="35">
        <v>18268675025</v>
      </c>
      <c r="E94" s="35" t="s">
        <v>315</v>
      </c>
      <c r="F94" s="35" t="s">
        <v>396</v>
      </c>
      <c r="G94" s="35" t="s">
        <v>177</v>
      </c>
      <c r="H94" s="35"/>
      <c r="I94" s="35"/>
      <c r="J94" s="35"/>
      <c r="K94" s="35"/>
      <c r="L94" s="35"/>
      <c r="M94" s="38" t="s">
        <v>283</v>
      </c>
      <c r="N94" s="35">
        <v>1946</v>
      </c>
      <c r="O94" s="35"/>
      <c r="P94" s="38" t="s">
        <v>283</v>
      </c>
      <c r="Q94" s="35"/>
      <c r="R94" s="35"/>
      <c r="S94" s="35"/>
      <c r="T94" s="35"/>
    </row>
    <row r="95" spans="1:20">
      <c r="A95" s="35">
        <v>91</v>
      </c>
      <c r="B95" s="36">
        <v>46154</v>
      </c>
      <c r="C95" s="35" t="s">
        <v>2101</v>
      </c>
      <c r="D95" s="35">
        <v>17365801402</v>
      </c>
      <c r="E95" s="35" t="s">
        <v>1646</v>
      </c>
      <c r="F95" s="35" t="s">
        <v>189</v>
      </c>
      <c r="G95" s="35" t="s">
        <v>684</v>
      </c>
      <c r="H95" s="35"/>
      <c r="I95" s="35"/>
      <c r="J95" s="35"/>
      <c r="K95" s="35"/>
      <c r="L95" s="35"/>
      <c r="M95" s="38" t="s">
        <v>986</v>
      </c>
      <c r="N95" s="35">
        <v>5999</v>
      </c>
      <c r="O95" s="35"/>
      <c r="P95" s="38" t="s">
        <v>283</v>
      </c>
      <c r="Q95" s="35"/>
      <c r="R95" s="35"/>
      <c r="S95" s="35"/>
      <c r="T95" s="35"/>
    </row>
    <row r="96" spans="1:20">
      <c r="A96" s="35">
        <v>92</v>
      </c>
      <c r="B96" s="36">
        <v>46156</v>
      </c>
      <c r="C96" s="35" t="s">
        <v>729</v>
      </c>
      <c r="D96" s="35">
        <v>13777116833</v>
      </c>
      <c r="E96" s="35" t="s">
        <v>730</v>
      </c>
      <c r="F96" s="35" t="s">
        <v>169</v>
      </c>
      <c r="G96" s="35" t="s">
        <v>210</v>
      </c>
      <c r="H96" s="35"/>
      <c r="I96" s="35"/>
      <c r="J96" s="35"/>
      <c r="K96" s="35"/>
      <c r="L96" s="35"/>
      <c r="M96" s="38" t="s">
        <v>482</v>
      </c>
      <c r="N96" s="35">
        <v>2330</v>
      </c>
      <c r="O96" s="35"/>
      <c r="P96" s="35"/>
      <c r="Q96" s="35"/>
      <c r="R96" s="35"/>
      <c r="S96" s="35"/>
      <c r="T96" s="35"/>
    </row>
    <row r="97" spans="1:20">
      <c r="A97" s="35">
        <v>93</v>
      </c>
      <c r="B97" s="36">
        <v>46159</v>
      </c>
      <c r="C97" s="35" t="s">
        <v>2102</v>
      </c>
      <c r="D97" s="35">
        <v>18069151652</v>
      </c>
      <c r="E97" s="35" t="s">
        <v>1662</v>
      </c>
      <c r="F97" s="35" t="s">
        <v>189</v>
      </c>
      <c r="G97" s="35" t="s">
        <v>684</v>
      </c>
      <c r="H97" s="35"/>
      <c r="I97" s="35"/>
      <c r="J97" s="35"/>
      <c r="K97" s="35"/>
      <c r="L97" s="35"/>
      <c r="M97" s="38" t="s">
        <v>1056</v>
      </c>
      <c r="N97" s="35">
        <v>1986</v>
      </c>
      <c r="O97" s="35"/>
      <c r="P97" s="35"/>
      <c r="Q97" s="35"/>
      <c r="R97" s="35"/>
      <c r="S97" s="35"/>
      <c r="T97" s="35"/>
    </row>
    <row r="98" spans="1:20">
      <c r="A98" s="35">
        <v>94</v>
      </c>
      <c r="B98" s="36">
        <v>46168</v>
      </c>
      <c r="C98" s="35" t="s">
        <v>2103</v>
      </c>
      <c r="D98" s="35">
        <v>15869369788</v>
      </c>
      <c r="E98" s="35" t="s">
        <v>159</v>
      </c>
      <c r="F98" s="35" t="s">
        <v>189</v>
      </c>
      <c r="G98" s="35" t="s">
        <v>1229</v>
      </c>
      <c r="H98" s="35"/>
      <c r="I98" s="35"/>
      <c r="J98" s="35"/>
      <c r="K98" s="35"/>
      <c r="L98" s="35" t="s">
        <v>2104</v>
      </c>
      <c r="M98" s="38" t="s">
        <v>1557</v>
      </c>
      <c r="N98" s="35">
        <v>6999</v>
      </c>
      <c r="O98" s="35"/>
      <c r="P98" s="35"/>
      <c r="Q98" s="35"/>
      <c r="R98" s="35"/>
      <c r="S98" s="35"/>
      <c r="T98" s="35"/>
    </row>
    <row r="99" spans="1:20">
      <c r="A99" s="35">
        <v>95</v>
      </c>
      <c r="B99" s="36">
        <v>46170</v>
      </c>
      <c r="C99" s="35" t="s">
        <v>2105</v>
      </c>
      <c r="D99" s="35">
        <v>15757878790</v>
      </c>
      <c r="E99" s="35" t="s">
        <v>1436</v>
      </c>
      <c r="F99" s="35" t="s">
        <v>189</v>
      </c>
      <c r="G99" s="35" t="s">
        <v>1236</v>
      </c>
      <c r="H99" s="35"/>
      <c r="I99" s="35"/>
      <c r="J99" s="35"/>
      <c r="K99" s="35"/>
      <c r="L99" s="35"/>
      <c r="M99" s="38" t="s">
        <v>1171</v>
      </c>
      <c r="N99" s="35">
        <v>6999</v>
      </c>
      <c r="O99" s="35"/>
      <c r="P99" s="35"/>
      <c r="Q99" s="35"/>
      <c r="R99" s="35"/>
      <c r="S99" s="35"/>
      <c r="T99" s="35"/>
    </row>
    <row r="100" spans="1:20">
      <c r="A100" s="35">
        <v>96</v>
      </c>
      <c r="B100" s="36">
        <v>46170</v>
      </c>
      <c r="C100" s="35" t="s">
        <v>615</v>
      </c>
      <c r="D100" s="35">
        <v>19957452470</v>
      </c>
      <c r="E100" s="35" t="s">
        <v>434</v>
      </c>
      <c r="F100" s="35" t="s">
        <v>189</v>
      </c>
      <c r="G100" s="35" t="s">
        <v>177</v>
      </c>
      <c r="H100" s="35"/>
      <c r="I100" s="35"/>
      <c r="J100" s="35"/>
      <c r="K100" s="35"/>
      <c r="L100" s="35"/>
      <c r="M100" s="38" t="s">
        <v>2041</v>
      </c>
      <c r="N100" s="35">
        <v>13140</v>
      </c>
      <c r="O100" s="35"/>
      <c r="P100" s="35"/>
      <c r="Q100" s="35"/>
      <c r="R100" s="35"/>
      <c r="S100" s="35"/>
      <c r="T100" s="35"/>
    </row>
    <row r="101" spans="1:20">
      <c r="A101" s="35">
        <v>97</v>
      </c>
      <c r="B101" s="36">
        <v>46173</v>
      </c>
      <c r="C101" s="35" t="s">
        <v>2106</v>
      </c>
      <c r="D101" s="35">
        <v>18268515831</v>
      </c>
      <c r="E101" s="35" t="s">
        <v>725</v>
      </c>
      <c r="F101" s="35" t="s">
        <v>189</v>
      </c>
      <c r="G101" s="35" t="s">
        <v>1209</v>
      </c>
      <c r="H101" s="35"/>
      <c r="I101" s="35"/>
      <c r="J101" s="35"/>
      <c r="K101" s="35"/>
      <c r="L101" s="35"/>
      <c r="M101" s="38" t="s">
        <v>2107</v>
      </c>
      <c r="N101" s="35">
        <v>5200</v>
      </c>
      <c r="O101" s="35"/>
      <c r="P101" s="35"/>
      <c r="Q101" s="35"/>
      <c r="R101" s="35"/>
      <c r="S101" s="35"/>
      <c r="T101" s="35"/>
    </row>
    <row r="102" s="18" customFormat="1" spans="1:20">
      <c r="A102" s="41">
        <v>98</v>
      </c>
      <c r="B102" s="40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2"/>
      <c r="N102" s="41"/>
      <c r="O102" s="41"/>
      <c r="P102" s="41"/>
      <c r="Q102" s="41"/>
      <c r="R102" s="41"/>
      <c r="S102" s="41"/>
      <c r="T102" s="41"/>
    </row>
    <row r="103" spans="1:20">
      <c r="A103" s="35">
        <v>99</v>
      </c>
      <c r="B103" s="36">
        <v>46174</v>
      </c>
      <c r="C103" s="35" t="s">
        <v>2108</v>
      </c>
      <c r="D103" s="35">
        <v>13586516903</v>
      </c>
      <c r="E103" s="35" t="s">
        <v>945</v>
      </c>
      <c r="F103" s="35" t="s">
        <v>267</v>
      </c>
      <c r="G103" s="35" t="s">
        <v>719</v>
      </c>
      <c r="H103" s="35"/>
      <c r="I103" s="35"/>
      <c r="J103" s="35"/>
      <c r="K103" s="35"/>
      <c r="L103" s="35"/>
      <c r="M103" s="38" t="s">
        <v>1557</v>
      </c>
      <c r="N103" s="35">
        <v>6999</v>
      </c>
      <c r="O103" s="35"/>
      <c r="P103" s="35"/>
      <c r="Q103" s="35"/>
      <c r="R103" s="35"/>
      <c r="S103" s="35"/>
      <c r="T103" s="35"/>
    </row>
    <row r="104" spans="1:20">
      <c r="A104" s="35">
        <v>100</v>
      </c>
      <c r="B104" s="36">
        <v>46179</v>
      </c>
      <c r="C104" s="35" t="s">
        <v>971</v>
      </c>
      <c r="D104" s="35">
        <v>15325803006</v>
      </c>
      <c r="E104" s="35" t="s">
        <v>725</v>
      </c>
      <c r="F104" s="35" t="s">
        <v>189</v>
      </c>
      <c r="G104" s="35" t="s">
        <v>210</v>
      </c>
      <c r="H104" s="35"/>
      <c r="I104" s="35"/>
      <c r="J104" s="35"/>
      <c r="K104" s="35"/>
      <c r="L104" s="35"/>
      <c r="M104" s="38" t="s">
        <v>1557</v>
      </c>
      <c r="N104" s="35">
        <v>1980</v>
      </c>
      <c r="O104" s="35"/>
      <c r="P104" s="35"/>
      <c r="Q104" s="35"/>
      <c r="R104" s="35"/>
      <c r="S104" s="35"/>
      <c r="T104" s="35"/>
    </row>
    <row r="105" spans="1:20">
      <c r="A105" s="35">
        <v>101</v>
      </c>
      <c r="B105" s="36">
        <v>46183</v>
      </c>
      <c r="C105" s="35" t="s">
        <v>984</v>
      </c>
      <c r="D105" s="35">
        <v>18657406866</v>
      </c>
      <c r="E105" s="35" t="s">
        <v>159</v>
      </c>
      <c r="F105" s="35" t="s">
        <v>189</v>
      </c>
      <c r="G105" s="35" t="s">
        <v>210</v>
      </c>
      <c r="H105" s="35"/>
      <c r="I105" s="35"/>
      <c r="J105" s="35"/>
      <c r="K105" s="35"/>
      <c r="L105" s="35" t="s">
        <v>987</v>
      </c>
      <c r="M105" s="38" t="s">
        <v>986</v>
      </c>
      <c r="N105" s="35">
        <v>14999.5</v>
      </c>
      <c r="O105" s="35"/>
      <c r="P105" s="35"/>
      <c r="Q105" s="35"/>
      <c r="R105" s="35"/>
      <c r="S105" s="35"/>
      <c r="T105" s="35"/>
    </row>
    <row r="106" spans="1:20">
      <c r="A106" s="35">
        <v>102</v>
      </c>
      <c r="B106" s="36">
        <v>46194</v>
      </c>
      <c r="C106" s="35" t="s">
        <v>994</v>
      </c>
      <c r="D106" s="35">
        <v>13857228161</v>
      </c>
      <c r="E106" s="35" t="s">
        <v>995</v>
      </c>
      <c r="F106" s="35" t="s">
        <v>588</v>
      </c>
      <c r="G106" s="35" t="s">
        <v>210</v>
      </c>
      <c r="H106" s="35"/>
      <c r="I106" s="35"/>
      <c r="J106" s="35"/>
      <c r="K106" s="35"/>
      <c r="L106" s="35"/>
      <c r="M106" s="38" t="s">
        <v>1557</v>
      </c>
      <c r="N106" s="35">
        <v>6999</v>
      </c>
      <c r="O106" s="35" t="s">
        <v>2109</v>
      </c>
      <c r="P106" s="35"/>
      <c r="Q106" s="35"/>
      <c r="R106" s="35"/>
      <c r="S106" s="35"/>
      <c r="T106" s="35"/>
    </row>
    <row r="107" ht="31.5" spans="1:20">
      <c r="A107" s="35">
        <v>103</v>
      </c>
      <c r="B107" s="36">
        <v>46198</v>
      </c>
      <c r="C107" s="35" t="s">
        <v>1017</v>
      </c>
      <c r="D107" s="35">
        <v>13655881272</v>
      </c>
      <c r="E107" s="35" t="s">
        <v>599</v>
      </c>
      <c r="F107" s="35" t="s">
        <v>1009</v>
      </c>
      <c r="G107" s="35" t="s">
        <v>210</v>
      </c>
      <c r="H107" s="35"/>
      <c r="I107" s="35"/>
      <c r="J107" s="35"/>
      <c r="K107" s="35"/>
      <c r="L107" s="35"/>
      <c r="M107" s="38" t="s">
        <v>2110</v>
      </c>
      <c r="N107" s="35">
        <v>6999.5</v>
      </c>
      <c r="O107" s="35"/>
      <c r="P107" s="35"/>
      <c r="Q107" s="35"/>
      <c r="R107" s="35"/>
      <c r="S107" s="35"/>
      <c r="T107" s="35"/>
    </row>
    <row r="108" spans="1:20">
      <c r="A108" s="35">
        <v>104</v>
      </c>
      <c r="B108" s="36">
        <v>46199</v>
      </c>
      <c r="C108" s="35" t="s">
        <v>1020</v>
      </c>
      <c r="D108" s="35">
        <v>18801771358</v>
      </c>
      <c r="E108" s="35" t="s">
        <v>159</v>
      </c>
      <c r="F108" s="35" t="s">
        <v>1009</v>
      </c>
      <c r="G108" s="35" t="s">
        <v>210</v>
      </c>
      <c r="H108" s="35"/>
      <c r="I108" s="35"/>
      <c r="J108" s="35"/>
      <c r="K108" s="35"/>
      <c r="L108" s="35"/>
      <c r="M108" s="38" t="s">
        <v>2111</v>
      </c>
      <c r="N108" s="35">
        <v>6999</v>
      </c>
      <c r="O108" s="35"/>
      <c r="P108" s="35"/>
      <c r="Q108" s="35"/>
      <c r="R108" s="35"/>
      <c r="S108" s="35"/>
      <c r="T108" s="35"/>
    </row>
    <row r="109" spans="1:20">
      <c r="A109" s="35">
        <v>105</v>
      </c>
      <c r="B109" s="36">
        <v>46199</v>
      </c>
      <c r="C109" s="35" t="s">
        <v>1014</v>
      </c>
      <c r="D109" s="35">
        <v>13644392189</v>
      </c>
      <c r="E109" s="35" t="s">
        <v>919</v>
      </c>
      <c r="F109" s="35" t="s">
        <v>1009</v>
      </c>
      <c r="G109" s="35" t="s">
        <v>210</v>
      </c>
      <c r="H109" s="35"/>
      <c r="I109" s="35"/>
      <c r="J109" s="35"/>
      <c r="K109" s="35"/>
      <c r="L109" s="35"/>
      <c r="M109" s="38" t="s">
        <v>477</v>
      </c>
      <c r="N109" s="35" t="s">
        <v>2112</v>
      </c>
      <c r="O109" s="35"/>
      <c r="P109" s="35"/>
      <c r="Q109" s="35"/>
      <c r="R109" s="35"/>
      <c r="S109" s="35"/>
      <c r="T109" s="35"/>
    </row>
    <row r="110" s="18" customFormat="1" spans="1:2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2"/>
      <c r="N110" s="41"/>
      <c r="O110" s="41"/>
      <c r="P110" s="41"/>
      <c r="Q110" s="41"/>
      <c r="R110" s="41"/>
      <c r="S110" s="41"/>
      <c r="T110" s="41"/>
    </row>
    <row r="111" ht="31.5" spans="1:20">
      <c r="A111" s="35">
        <v>1</v>
      </c>
      <c r="B111" s="36">
        <v>46212</v>
      </c>
      <c r="C111" s="35" t="s">
        <v>2113</v>
      </c>
      <c r="D111" s="35">
        <v>13857892065</v>
      </c>
      <c r="E111" s="35" t="s">
        <v>1031</v>
      </c>
      <c r="F111" s="35" t="s">
        <v>189</v>
      </c>
      <c r="G111" s="35" t="s">
        <v>177</v>
      </c>
      <c r="H111" s="35"/>
      <c r="I111" s="35"/>
      <c r="J111" s="35"/>
      <c r="K111" s="35"/>
      <c r="L111" s="35"/>
      <c r="M111" s="38" t="s">
        <v>2114</v>
      </c>
      <c r="N111" s="35">
        <v>5998</v>
      </c>
      <c r="O111" s="35"/>
      <c r="P111" s="35"/>
      <c r="Q111" s="35"/>
      <c r="R111" s="35"/>
      <c r="S111" s="35"/>
      <c r="T111" s="35"/>
    </row>
    <row r="112" spans="1:20">
      <c r="A112" s="35">
        <v>2</v>
      </c>
      <c r="B112" s="36">
        <v>46219</v>
      </c>
      <c r="C112" s="35" t="s">
        <v>2115</v>
      </c>
      <c r="D112" s="35">
        <v>18892624978</v>
      </c>
      <c r="E112" s="35" t="s">
        <v>831</v>
      </c>
      <c r="F112" s="35" t="s">
        <v>189</v>
      </c>
      <c r="G112" s="35" t="s">
        <v>684</v>
      </c>
      <c r="H112" s="35"/>
      <c r="I112" s="35"/>
      <c r="J112" s="35"/>
      <c r="K112" s="35"/>
      <c r="L112" s="35"/>
      <c r="M112" s="38" t="s">
        <v>2041</v>
      </c>
      <c r="N112" s="35">
        <v>13999</v>
      </c>
      <c r="O112" s="35"/>
      <c r="P112" s="35"/>
      <c r="Q112" s="35"/>
      <c r="R112" s="35"/>
      <c r="S112" s="35"/>
      <c r="T112" s="35"/>
    </row>
    <row r="113" spans="1:20">
      <c r="A113" s="35">
        <v>3</v>
      </c>
      <c r="B113" s="36">
        <v>46219</v>
      </c>
      <c r="C113" s="35" t="s">
        <v>2116</v>
      </c>
      <c r="D113" s="35">
        <v>13588981321</v>
      </c>
      <c r="E113" s="35" t="s">
        <v>1822</v>
      </c>
      <c r="F113" s="35" t="s">
        <v>169</v>
      </c>
      <c r="G113" s="35" t="s">
        <v>248</v>
      </c>
      <c r="H113" s="35"/>
      <c r="I113" s="35"/>
      <c r="J113" s="35"/>
      <c r="K113" s="35"/>
      <c r="L113" s="35"/>
      <c r="M113" s="38" t="s">
        <v>1557</v>
      </c>
      <c r="N113" s="35">
        <v>6999</v>
      </c>
      <c r="O113" s="35" t="s">
        <v>2117</v>
      </c>
      <c r="P113" s="35"/>
      <c r="Q113" s="35"/>
      <c r="R113" s="35"/>
      <c r="S113" s="35"/>
      <c r="T113" s="35"/>
    </row>
    <row r="114" spans="1:20">
      <c r="A114" s="35">
        <v>4</v>
      </c>
      <c r="B114" s="36">
        <v>46224</v>
      </c>
      <c r="C114" s="35" t="s">
        <v>2118</v>
      </c>
      <c r="D114" s="35">
        <v>15130773647</v>
      </c>
      <c r="E114" s="35" t="s">
        <v>860</v>
      </c>
      <c r="F114" s="35" t="s">
        <v>189</v>
      </c>
      <c r="G114" s="35" t="s">
        <v>1236</v>
      </c>
      <c r="H114" s="35"/>
      <c r="I114" s="35"/>
      <c r="J114" s="35"/>
      <c r="K114" s="35"/>
      <c r="L114" s="35"/>
      <c r="M114" s="38" t="s">
        <v>443</v>
      </c>
      <c r="N114" s="35">
        <v>3560</v>
      </c>
      <c r="O114" s="35"/>
      <c r="P114" s="35"/>
      <c r="Q114" s="35"/>
      <c r="R114" s="35"/>
      <c r="S114" s="35"/>
      <c r="T114" s="35"/>
    </row>
    <row r="115" spans="1:20">
      <c r="A115" s="35">
        <v>5</v>
      </c>
      <c r="B115" s="36">
        <v>46227</v>
      </c>
      <c r="C115" s="35" t="s">
        <v>1869</v>
      </c>
      <c r="D115" s="35">
        <v>15067488766</v>
      </c>
      <c r="E115" s="35" t="s">
        <v>315</v>
      </c>
      <c r="F115" s="35" t="s">
        <v>189</v>
      </c>
      <c r="G115" s="35" t="s">
        <v>1209</v>
      </c>
      <c r="H115" s="35"/>
      <c r="I115" s="35"/>
      <c r="J115" s="35"/>
      <c r="K115" s="35"/>
      <c r="L115" s="35"/>
      <c r="M115" s="38" t="s">
        <v>1557</v>
      </c>
      <c r="N115" s="35">
        <v>6999</v>
      </c>
      <c r="O115" s="35"/>
      <c r="P115" s="35"/>
      <c r="Q115" s="35"/>
      <c r="R115" s="35"/>
      <c r="S115" s="35"/>
      <c r="T115" s="35"/>
    </row>
    <row r="116" spans="1:20">
      <c r="A116" s="35">
        <v>6</v>
      </c>
      <c r="B116" s="36">
        <v>46229</v>
      </c>
      <c r="C116" s="35" t="s">
        <v>2119</v>
      </c>
      <c r="D116" s="35">
        <v>13626848272</v>
      </c>
      <c r="E116" s="35" t="s">
        <v>315</v>
      </c>
      <c r="F116" s="35" t="s">
        <v>189</v>
      </c>
      <c r="G116" s="35" t="s">
        <v>1209</v>
      </c>
      <c r="H116" s="35"/>
      <c r="I116" s="35"/>
      <c r="J116" s="35"/>
      <c r="K116" s="35"/>
      <c r="L116" s="35"/>
      <c r="M116" s="38" t="s">
        <v>1213</v>
      </c>
      <c r="N116" s="35">
        <v>4660</v>
      </c>
      <c r="O116" s="35"/>
      <c r="P116" s="35"/>
      <c r="Q116" s="35"/>
      <c r="R116" s="35"/>
      <c r="S116" s="35"/>
      <c r="T116" s="35"/>
    </row>
    <row r="117" spans="1:20">
      <c r="A117" s="35">
        <v>7</v>
      </c>
      <c r="B117" s="36">
        <v>46229</v>
      </c>
      <c r="C117" s="35" t="s">
        <v>1052</v>
      </c>
      <c r="D117" s="35">
        <v>13738890788</v>
      </c>
      <c r="E117" s="35" t="s">
        <v>584</v>
      </c>
      <c r="F117" s="35" t="s">
        <v>169</v>
      </c>
      <c r="G117" s="35" t="s">
        <v>177</v>
      </c>
      <c r="H117" s="35"/>
      <c r="I117" s="35"/>
      <c r="J117" s="35"/>
      <c r="K117" s="35"/>
      <c r="L117" s="35"/>
      <c r="M117" s="38" t="s">
        <v>1056</v>
      </c>
      <c r="N117" s="35">
        <v>1999</v>
      </c>
      <c r="O117" s="35"/>
      <c r="P117" s="35"/>
      <c r="Q117" s="35"/>
      <c r="R117" s="35"/>
      <c r="S117" s="35"/>
      <c r="T117" s="35"/>
    </row>
    <row r="118" spans="1:20">
      <c r="A118" s="35">
        <v>8</v>
      </c>
      <c r="B118" s="36">
        <v>46229</v>
      </c>
      <c r="C118" s="35" t="s">
        <v>1057</v>
      </c>
      <c r="D118" s="35">
        <v>13757466031</v>
      </c>
      <c r="E118" s="35" t="s">
        <v>584</v>
      </c>
      <c r="F118" s="35" t="s">
        <v>169</v>
      </c>
      <c r="G118" s="35" t="s">
        <v>177</v>
      </c>
      <c r="H118" s="35"/>
      <c r="I118" s="35"/>
      <c r="J118" s="35"/>
      <c r="K118" s="35"/>
      <c r="L118" s="35"/>
      <c r="M118" s="38" t="s">
        <v>1056</v>
      </c>
      <c r="N118" s="35">
        <v>1999</v>
      </c>
      <c r="O118" s="35"/>
      <c r="P118" s="35"/>
      <c r="Q118" s="35"/>
      <c r="R118" s="35"/>
      <c r="S118" s="35"/>
      <c r="T118" s="35"/>
    </row>
    <row r="119" spans="1:20">
      <c r="A119" s="35">
        <v>9</v>
      </c>
      <c r="B119" s="36">
        <v>46230</v>
      </c>
      <c r="C119" s="35" t="s">
        <v>2120</v>
      </c>
      <c r="D119" s="35">
        <v>15867537088</v>
      </c>
      <c r="E119" s="35" t="s">
        <v>750</v>
      </c>
      <c r="F119" s="35" t="s">
        <v>189</v>
      </c>
      <c r="G119" s="35" t="s">
        <v>1209</v>
      </c>
      <c r="H119" s="35"/>
      <c r="I119" s="35"/>
      <c r="J119" s="35"/>
      <c r="K119" s="35"/>
      <c r="L119" s="35"/>
      <c r="M119" s="38" t="s">
        <v>2121</v>
      </c>
      <c r="N119" s="35">
        <v>10599</v>
      </c>
      <c r="O119" s="35"/>
      <c r="P119" s="35"/>
      <c r="Q119" s="35"/>
      <c r="R119" s="35"/>
      <c r="S119" s="35"/>
      <c r="T119" s="35"/>
    </row>
    <row r="120" s="20" customFormat="1" spans="1: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4"/>
      <c r="N120" s="53"/>
      <c r="O120" s="53"/>
      <c r="P120" s="53"/>
      <c r="Q120" s="53"/>
      <c r="R120" s="53"/>
      <c r="S120" s="53"/>
      <c r="T120" s="53"/>
    </row>
    <row r="121" spans="1:20">
      <c r="A121" s="35">
        <v>1</v>
      </c>
      <c r="B121" s="36">
        <v>46235</v>
      </c>
      <c r="C121" s="35" t="s">
        <v>2122</v>
      </c>
      <c r="D121" s="35">
        <v>13566053556</v>
      </c>
      <c r="E121" s="35" t="s">
        <v>1894</v>
      </c>
      <c r="F121" s="35" t="s">
        <v>588</v>
      </c>
      <c r="G121" s="35" t="s">
        <v>1895</v>
      </c>
      <c r="H121" s="35"/>
      <c r="I121" s="35"/>
      <c r="J121" s="35"/>
      <c r="K121" s="35"/>
      <c r="L121" s="35" t="s">
        <v>2123</v>
      </c>
      <c r="M121" s="38" t="s">
        <v>2124</v>
      </c>
      <c r="N121" s="35">
        <v>21999</v>
      </c>
      <c r="O121" s="35"/>
      <c r="P121" s="35"/>
      <c r="Q121" s="35"/>
      <c r="R121" s="35"/>
      <c r="S121" s="35"/>
      <c r="T121" s="35"/>
    </row>
    <row r="122" spans="1:20">
      <c r="A122" s="35">
        <v>2</v>
      </c>
      <c r="B122" s="36">
        <v>46237</v>
      </c>
      <c r="C122" s="35" t="s">
        <v>2125</v>
      </c>
      <c r="D122" s="35">
        <v>13566596201</v>
      </c>
      <c r="E122" s="35" t="s">
        <v>1886</v>
      </c>
      <c r="F122" s="35" t="s">
        <v>189</v>
      </c>
      <c r="G122" s="35" t="s">
        <v>684</v>
      </c>
      <c r="H122" s="35"/>
      <c r="I122" s="35"/>
      <c r="J122" s="35"/>
      <c r="K122" s="35"/>
      <c r="L122" s="35"/>
      <c r="M122" s="38" t="s">
        <v>1213</v>
      </c>
      <c r="N122" s="35">
        <v>4666</v>
      </c>
      <c r="O122" s="35"/>
      <c r="P122" s="35"/>
      <c r="Q122" s="35"/>
      <c r="R122" s="35"/>
      <c r="S122" s="35"/>
      <c r="T122" s="35"/>
    </row>
    <row r="123" spans="1:20">
      <c r="A123" s="35">
        <v>3</v>
      </c>
      <c r="B123" s="36">
        <v>46239</v>
      </c>
      <c r="C123" s="35" t="s">
        <v>2126</v>
      </c>
      <c r="D123" s="35">
        <v>15738867653</v>
      </c>
      <c r="E123" s="35" t="s">
        <v>1900</v>
      </c>
      <c r="F123" s="35" t="s">
        <v>169</v>
      </c>
      <c r="G123" s="35" t="s">
        <v>684</v>
      </c>
      <c r="H123" s="35"/>
      <c r="I123" s="35"/>
      <c r="J123" s="35"/>
      <c r="K123" s="35"/>
      <c r="L123" s="35"/>
      <c r="M123" s="38" t="s">
        <v>1902</v>
      </c>
      <c r="N123" s="35">
        <v>13888</v>
      </c>
      <c r="O123" s="35"/>
      <c r="P123" s="35"/>
      <c r="Q123" s="35"/>
      <c r="R123" s="35"/>
      <c r="S123" s="35"/>
      <c r="T123" s="35"/>
    </row>
    <row r="124" spans="1:20">
      <c r="A124" s="35">
        <v>4</v>
      </c>
      <c r="B124" s="36">
        <v>46242</v>
      </c>
      <c r="C124" s="35" t="s">
        <v>1141</v>
      </c>
      <c r="D124" s="35">
        <v>13373885360</v>
      </c>
      <c r="E124" s="35" t="s">
        <v>1142</v>
      </c>
      <c r="F124" s="35" t="s">
        <v>189</v>
      </c>
      <c r="G124" s="35" t="s">
        <v>1109</v>
      </c>
      <c r="H124" s="35"/>
      <c r="I124" s="35"/>
      <c r="J124" s="35"/>
      <c r="K124" s="35"/>
      <c r="L124" s="35"/>
      <c r="M124" s="38" t="s">
        <v>1145</v>
      </c>
      <c r="N124" s="35">
        <v>10850</v>
      </c>
      <c r="O124" s="35"/>
      <c r="P124" s="35"/>
      <c r="Q124" s="35"/>
      <c r="R124" s="35"/>
      <c r="S124" s="35"/>
      <c r="T124" s="35"/>
    </row>
    <row r="125" spans="1:20">
      <c r="A125" s="35">
        <v>5</v>
      </c>
      <c r="B125" s="36">
        <v>46242</v>
      </c>
      <c r="C125" s="35" t="s">
        <v>938</v>
      </c>
      <c r="D125" s="35">
        <v>15068737489</v>
      </c>
      <c r="E125" s="35" t="s">
        <v>315</v>
      </c>
      <c r="F125" s="35" t="s">
        <v>189</v>
      </c>
      <c r="G125" s="35" t="s">
        <v>939</v>
      </c>
      <c r="H125" s="35"/>
      <c r="I125" s="35"/>
      <c r="J125" s="35"/>
      <c r="K125" s="35"/>
      <c r="L125" s="35"/>
      <c r="M125" s="38" t="s">
        <v>941</v>
      </c>
      <c r="N125" s="35">
        <v>1790</v>
      </c>
      <c r="O125" s="35"/>
      <c r="P125" s="35"/>
      <c r="Q125" s="35"/>
      <c r="R125" s="35"/>
      <c r="S125" s="35"/>
      <c r="T125" s="35"/>
    </row>
    <row r="126" spans="1:20">
      <c r="A126" s="35">
        <v>6</v>
      </c>
      <c r="B126" s="36">
        <v>46247</v>
      </c>
      <c r="C126" s="35" t="s">
        <v>2127</v>
      </c>
      <c r="D126" s="35">
        <v>17531893923</v>
      </c>
      <c r="E126" s="35" t="s">
        <v>315</v>
      </c>
      <c r="F126" s="35" t="s">
        <v>169</v>
      </c>
      <c r="G126" s="35" t="s">
        <v>1209</v>
      </c>
      <c r="H126" s="35"/>
      <c r="I126" s="35"/>
      <c r="J126" s="35"/>
      <c r="K126" s="35"/>
      <c r="L126" s="35"/>
      <c r="M126" s="38" t="s">
        <v>2128</v>
      </c>
      <c r="N126" s="35">
        <v>2100</v>
      </c>
      <c r="O126" s="35"/>
      <c r="P126" s="35"/>
      <c r="Q126" s="35"/>
      <c r="R126" s="35"/>
      <c r="S126" s="35"/>
      <c r="T126" s="35"/>
    </row>
    <row r="127" spans="1:20">
      <c r="A127" s="35">
        <v>7</v>
      </c>
      <c r="B127" s="36">
        <v>46247</v>
      </c>
      <c r="C127" s="35" t="s">
        <v>2129</v>
      </c>
      <c r="D127" s="35">
        <v>18768144653</v>
      </c>
      <c r="E127" s="35" t="s">
        <v>1814</v>
      </c>
      <c r="F127" s="35" t="s">
        <v>189</v>
      </c>
      <c r="G127" s="35" t="s">
        <v>1236</v>
      </c>
      <c r="H127" s="35"/>
      <c r="I127" s="35"/>
      <c r="J127" s="35"/>
      <c r="K127" s="35"/>
      <c r="L127" s="35"/>
      <c r="M127" s="38" t="s">
        <v>1816</v>
      </c>
      <c r="N127" s="35">
        <v>3580</v>
      </c>
      <c r="O127" s="35"/>
      <c r="P127" s="35"/>
      <c r="Q127" s="35"/>
      <c r="R127" s="35"/>
      <c r="S127" s="35"/>
      <c r="T127" s="35"/>
    </row>
    <row r="128" spans="1:20">
      <c r="A128" s="35">
        <v>8</v>
      </c>
      <c r="B128" s="36">
        <v>46248</v>
      </c>
      <c r="C128" s="35" t="s">
        <v>1168</v>
      </c>
      <c r="D128" s="35">
        <v>13586822567</v>
      </c>
      <c r="E128" s="35" t="s">
        <v>1169</v>
      </c>
      <c r="F128" s="35" t="s">
        <v>588</v>
      </c>
      <c r="G128" s="35" t="s">
        <v>939</v>
      </c>
      <c r="H128" s="35"/>
      <c r="I128" s="35"/>
      <c r="J128" s="35"/>
      <c r="K128" s="35"/>
      <c r="L128" s="35"/>
      <c r="M128" s="38" t="s">
        <v>1171</v>
      </c>
      <c r="N128" s="35">
        <v>4100</v>
      </c>
      <c r="O128" s="35"/>
      <c r="P128" s="35"/>
      <c r="Q128" s="35"/>
      <c r="R128" s="35"/>
      <c r="S128" s="35"/>
      <c r="T128" s="35"/>
    </row>
    <row r="129" spans="1:20">
      <c r="A129" s="35">
        <v>9</v>
      </c>
      <c r="B129" s="36">
        <v>46253</v>
      </c>
      <c r="C129" s="35" t="s">
        <v>2130</v>
      </c>
      <c r="D129" s="35">
        <v>15869593276</v>
      </c>
      <c r="E129" s="35" t="s">
        <v>754</v>
      </c>
      <c r="F129" s="35" t="s">
        <v>189</v>
      </c>
      <c r="G129" s="35" t="s">
        <v>1895</v>
      </c>
      <c r="H129" s="35"/>
      <c r="I129" s="35"/>
      <c r="J129" s="35"/>
      <c r="K129" s="35"/>
      <c r="L129" s="35"/>
      <c r="M129" s="38" t="s">
        <v>2041</v>
      </c>
      <c r="N129" s="35">
        <v>12270</v>
      </c>
      <c r="O129" s="35"/>
      <c r="P129" s="35"/>
      <c r="Q129" s="35"/>
      <c r="R129" s="35"/>
      <c r="S129" s="35"/>
      <c r="T129" s="35"/>
    </row>
    <row r="130" spans="1:20">
      <c r="A130" s="35">
        <v>10</v>
      </c>
      <c r="B130" s="36">
        <v>46256</v>
      </c>
      <c r="C130" s="35" t="s">
        <v>2131</v>
      </c>
      <c r="D130" s="35">
        <v>15958802639</v>
      </c>
      <c r="E130" s="35" t="s">
        <v>1974</v>
      </c>
      <c r="F130" s="35" t="s">
        <v>189</v>
      </c>
      <c r="G130" s="35" t="s">
        <v>1895</v>
      </c>
      <c r="H130" s="35"/>
      <c r="I130" s="35"/>
      <c r="J130" s="35"/>
      <c r="K130" s="35"/>
      <c r="L130" s="35"/>
      <c r="M130" s="38" t="s">
        <v>1975</v>
      </c>
      <c r="N130" s="35">
        <v>8461</v>
      </c>
      <c r="O130" s="35"/>
      <c r="P130" s="35"/>
      <c r="Q130" s="35"/>
      <c r="R130" s="35"/>
      <c r="S130" s="35"/>
      <c r="T130" s="35"/>
    </row>
    <row r="131" spans="1:20">
      <c r="A131" s="35">
        <v>11</v>
      </c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8"/>
      <c r="N131" s="35"/>
      <c r="O131" s="35"/>
      <c r="P131" s="35"/>
      <c r="Q131" s="35"/>
      <c r="R131" s="35"/>
      <c r="S131" s="35"/>
      <c r="T131" s="35"/>
    </row>
    <row r="132" spans="1:20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8"/>
      <c r="N132" s="35"/>
      <c r="O132" s="35"/>
      <c r="P132" s="35"/>
      <c r="Q132" s="35"/>
      <c r="R132" s="35"/>
      <c r="S132" s="35"/>
      <c r="T132" s="35"/>
    </row>
    <row r="133" spans="1:20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8"/>
      <c r="N133" s="35"/>
      <c r="O133" s="35"/>
      <c r="P133" s="35"/>
      <c r="Q133" s="35"/>
      <c r="R133" s="35"/>
      <c r="S133" s="35"/>
      <c r="T133" s="35"/>
    </row>
    <row r="134" spans="1:20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8"/>
      <c r="N134" s="35"/>
      <c r="O134" s="35"/>
      <c r="P134" s="35"/>
      <c r="Q134" s="35"/>
      <c r="R134" s="35"/>
      <c r="S134" s="35"/>
      <c r="T134" s="35"/>
    </row>
    <row r="135" spans="1:20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8"/>
      <c r="N135" s="35"/>
      <c r="O135" s="35"/>
      <c r="P135" s="35"/>
      <c r="Q135" s="35"/>
      <c r="R135" s="35"/>
      <c r="S135" s="35"/>
      <c r="T135" s="35"/>
    </row>
    <row r="136" spans="1:20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8"/>
      <c r="N136" s="35"/>
      <c r="O136" s="35"/>
      <c r="P136" s="35"/>
      <c r="Q136" s="35"/>
      <c r="R136" s="35"/>
      <c r="S136" s="35"/>
      <c r="T136" s="35"/>
    </row>
    <row r="137" spans="1:20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8"/>
      <c r="N137" s="35"/>
      <c r="O137" s="35"/>
      <c r="P137" s="35"/>
      <c r="Q137" s="35"/>
      <c r="R137" s="35"/>
      <c r="S137" s="35"/>
      <c r="T137" s="35"/>
    </row>
    <row r="138" spans="1:20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8"/>
      <c r="N138" s="35"/>
      <c r="O138" s="35"/>
      <c r="P138" s="35"/>
      <c r="Q138" s="35"/>
      <c r="R138" s="35"/>
      <c r="S138" s="35"/>
      <c r="T138" s="35"/>
    </row>
    <row r="139" spans="1:20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8"/>
      <c r="N139" s="35"/>
      <c r="O139" s="35"/>
      <c r="P139" s="35"/>
      <c r="Q139" s="35"/>
      <c r="R139" s="35"/>
      <c r="S139" s="35"/>
      <c r="T139" s="35"/>
    </row>
  </sheetData>
  <mergeCells count="11">
    <mergeCell ref="A1:T1"/>
    <mergeCell ref="A2:T2"/>
    <mergeCell ref="A3:N3"/>
    <mergeCell ref="O3:Q3"/>
    <mergeCell ref="R3:T3"/>
    <mergeCell ref="D36:D37"/>
    <mergeCell ref="M20:M21"/>
    <mergeCell ref="M36:M37"/>
    <mergeCell ref="N20:N21"/>
    <mergeCell ref="N36:N37"/>
    <mergeCell ref="O36:O37"/>
  </mergeCells>
  <conditionalFormatting sqref="H4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zoomScale="90" zoomScaleNormal="90" workbookViewId="0">
      <selection activeCell="J23" sqref="J23"/>
    </sheetView>
  </sheetViews>
  <sheetFormatPr defaultColWidth="8.96666666666667" defaultRowHeight="15.75"/>
  <cols>
    <col min="1" max="1" width="11.625" style="6"/>
    <col min="2" max="5" width="20.2" style="6" customWidth="1"/>
    <col min="6" max="6" width="23.5666666666667" style="6" customWidth="1"/>
    <col min="7" max="7" width="24.5083333333333" style="6" customWidth="1"/>
    <col min="8" max="10" width="20.2" style="6" customWidth="1"/>
    <col min="11" max="11" width="22.1333333333333" style="7" customWidth="1"/>
    <col min="12" max="12" width="20.8833333333333" style="6" customWidth="1"/>
  </cols>
  <sheetData>
    <row r="1" ht="25.1" spans="1:13">
      <c r="A1" s="8" t="s">
        <v>2132</v>
      </c>
      <c r="B1" s="8"/>
      <c r="C1" s="8"/>
      <c r="D1" s="8"/>
      <c r="E1" s="8"/>
      <c r="F1" s="8"/>
      <c r="G1" s="8"/>
      <c r="H1" s="8"/>
      <c r="I1" s="8"/>
      <c r="J1" s="8"/>
    </row>
    <row r="2" spans="1:13">
      <c r="A2" s="9" t="s">
        <v>5</v>
      </c>
      <c r="B2" s="9" t="s">
        <v>2133</v>
      </c>
      <c r="C2" s="9" t="s">
        <v>2134</v>
      </c>
      <c r="D2" s="9" t="s">
        <v>2135</v>
      </c>
      <c r="E2" s="9" t="s">
        <v>2136</v>
      </c>
      <c r="F2" s="9" t="s">
        <v>2137</v>
      </c>
      <c r="G2" s="9"/>
      <c r="H2" s="9" t="s">
        <v>2138</v>
      </c>
      <c r="I2" s="9" t="s">
        <v>2139</v>
      </c>
      <c r="J2" s="9" t="s">
        <v>2140</v>
      </c>
      <c r="K2" s="10" t="s">
        <v>2141</v>
      </c>
    </row>
    <row r="3" spans="1:13">
      <c r="A3" s="11">
        <v>45870</v>
      </c>
      <c r="B3" s="6">
        <v>35634</v>
      </c>
      <c r="D3" s="6">
        <v>12</v>
      </c>
      <c r="E3" s="6">
        <v>0</v>
      </c>
      <c r="F3" s="6">
        <v>1791</v>
      </c>
      <c r="H3" s="6">
        <v>0</v>
      </c>
      <c r="I3" s="6">
        <v>0</v>
      </c>
      <c r="J3" s="6">
        <v>0</v>
      </c>
      <c r="K3" s="7">
        <f>H3/D3*100%</f>
        <v>0</v>
      </c>
    </row>
    <row r="4" spans="1:13">
      <c r="A4" s="11">
        <v>45901</v>
      </c>
      <c r="B4" s="6">
        <v>132172</v>
      </c>
      <c r="D4" s="6">
        <v>23</v>
      </c>
      <c r="E4" s="6">
        <v>1</v>
      </c>
      <c r="F4" s="6">
        <v>4065</v>
      </c>
      <c r="G4" s="9"/>
      <c r="H4" s="9">
        <v>3</v>
      </c>
      <c r="I4" s="9">
        <v>0</v>
      </c>
      <c r="J4" s="9">
        <v>11890</v>
      </c>
      <c r="K4" s="7">
        <f>H4/(D4+E4)*100%</f>
        <v>0.125</v>
      </c>
    </row>
    <row r="5" spans="1:13">
      <c r="A5" s="11">
        <v>45931</v>
      </c>
      <c r="B5" s="6">
        <v>76474</v>
      </c>
      <c r="C5" s="6">
        <v>51</v>
      </c>
      <c r="D5" s="6">
        <v>29</v>
      </c>
      <c r="E5" s="6">
        <v>10</v>
      </c>
      <c r="F5" s="6">
        <v>4941</v>
      </c>
      <c r="H5" s="6">
        <v>8</v>
      </c>
      <c r="I5" s="6">
        <v>3</v>
      </c>
      <c r="J5" s="6">
        <v>72331</v>
      </c>
      <c r="K5" s="7">
        <f>(H5+I5)/(D5+E5)*100%</f>
        <v>0.282051282051282</v>
      </c>
    </row>
    <row r="6" spans="1:13">
      <c r="A6" s="11">
        <v>45962</v>
      </c>
      <c r="B6" s="6">
        <v>49978</v>
      </c>
      <c r="C6" s="6">
        <v>51</v>
      </c>
      <c r="D6" s="6">
        <v>21</v>
      </c>
      <c r="E6" s="6">
        <v>13</v>
      </c>
      <c r="F6" s="6">
        <v>4721</v>
      </c>
      <c r="H6" s="6">
        <v>8</v>
      </c>
      <c r="I6" s="6">
        <v>4</v>
      </c>
      <c r="J6" s="6">
        <v>58420.5</v>
      </c>
      <c r="K6" s="7">
        <f>(H6+I6)/(D6+E6)*100%</f>
        <v>0.352941176470588</v>
      </c>
    </row>
    <row r="7" spans="1:13">
      <c r="A7" s="11">
        <v>45992</v>
      </c>
      <c r="B7" s="6">
        <v>41637</v>
      </c>
      <c r="C7" s="6">
        <v>62</v>
      </c>
      <c r="D7" s="6">
        <v>23</v>
      </c>
      <c r="E7" s="6">
        <v>20</v>
      </c>
      <c r="F7" s="6">
        <v>4156</v>
      </c>
      <c r="H7" s="6">
        <v>7</v>
      </c>
      <c r="I7" s="6">
        <v>2</v>
      </c>
      <c r="J7" s="6">
        <v>33799</v>
      </c>
      <c r="K7" s="7">
        <f>(H7+I7)/(D7+E7)*100%</f>
        <v>0.209302325581395</v>
      </c>
    </row>
    <row r="8" s="5" customFormat="1" spans="1:13">
      <c r="A8" s="12"/>
      <c r="B8" s="13"/>
      <c r="C8" s="13"/>
      <c r="D8" s="13"/>
      <c r="E8" s="13"/>
      <c r="F8" s="13"/>
      <c r="G8" s="13"/>
      <c r="H8" s="13"/>
      <c r="I8" s="13"/>
      <c r="J8" s="13"/>
      <c r="K8" s="14"/>
      <c r="L8" s="13"/>
    </row>
    <row r="9" spans="1:13">
      <c r="A9" s="9" t="s">
        <v>5</v>
      </c>
      <c r="B9" s="9" t="s">
        <v>2133</v>
      </c>
      <c r="C9" s="9" t="s">
        <v>2134</v>
      </c>
      <c r="D9" s="9" t="s">
        <v>2135</v>
      </c>
      <c r="E9" s="9" t="s">
        <v>2136</v>
      </c>
      <c r="F9" s="9" t="s">
        <v>2142</v>
      </c>
      <c r="G9" s="9" t="s">
        <v>2143</v>
      </c>
      <c r="H9" s="9" t="s">
        <v>2138</v>
      </c>
      <c r="I9" s="9" t="s">
        <v>2139</v>
      </c>
      <c r="J9" s="9" t="s">
        <v>2140</v>
      </c>
      <c r="K9" s="10" t="s">
        <v>2144</v>
      </c>
      <c r="L9" s="10" t="s">
        <v>2145</v>
      </c>
    </row>
    <row r="10" spans="1:13">
      <c r="A10" s="15">
        <v>46023</v>
      </c>
      <c r="B10" s="6">
        <v>24884</v>
      </c>
      <c r="C10" s="6">
        <v>76</v>
      </c>
      <c r="D10" s="6">
        <v>22</v>
      </c>
      <c r="E10" s="6">
        <v>23</v>
      </c>
      <c r="F10" s="6">
        <v>3496.84</v>
      </c>
      <c r="G10" s="6">
        <v>3900.8</v>
      </c>
      <c r="H10" s="6">
        <v>7</v>
      </c>
      <c r="I10" s="6">
        <v>4</v>
      </c>
      <c r="J10" s="6">
        <v>58165</v>
      </c>
      <c r="K10" s="7">
        <f t="shared" ref="K10:K17" si="0">H10/D10*100%</f>
        <v>0.318181818181818</v>
      </c>
      <c r="L10" s="7">
        <f t="shared" ref="L10:L17" si="1">I10/E10*100%</f>
        <v>0.173913043478261</v>
      </c>
    </row>
    <row r="11" spans="1:13">
      <c r="A11" s="15">
        <v>46054</v>
      </c>
      <c r="B11" s="6">
        <v>11868</v>
      </c>
      <c r="C11" s="6">
        <v>33</v>
      </c>
      <c r="D11" s="6">
        <v>8</v>
      </c>
      <c r="E11" s="6">
        <v>10</v>
      </c>
      <c r="F11" s="6">
        <v>1069.28</v>
      </c>
      <c r="G11" s="6">
        <v>1887.98</v>
      </c>
      <c r="H11" s="6">
        <v>1</v>
      </c>
      <c r="I11" s="6">
        <v>1</v>
      </c>
      <c r="J11" s="6">
        <v>2243</v>
      </c>
      <c r="K11" s="7">
        <f t="shared" si="0"/>
        <v>0.125</v>
      </c>
      <c r="L11" s="7">
        <f t="shared" si="1"/>
        <v>0.1</v>
      </c>
    </row>
    <row r="12" spans="1:13">
      <c r="A12" s="15">
        <v>46082</v>
      </c>
      <c r="B12" s="6">
        <v>16970</v>
      </c>
      <c r="C12" s="6">
        <v>98</v>
      </c>
      <c r="D12" s="6">
        <v>33</v>
      </c>
      <c r="E12" s="6">
        <v>31</v>
      </c>
      <c r="F12" s="6">
        <v>3083.1</v>
      </c>
      <c r="G12" s="6">
        <v>4703.706</v>
      </c>
      <c r="H12" s="6">
        <v>10</v>
      </c>
      <c r="I12" s="6">
        <v>10</v>
      </c>
      <c r="J12" s="6">
        <v>94835.5</v>
      </c>
      <c r="K12" s="7">
        <f t="shared" si="0"/>
        <v>0.303030303030303</v>
      </c>
      <c r="L12" s="7">
        <f t="shared" si="1"/>
        <v>0.32258064516129</v>
      </c>
    </row>
    <row r="13" spans="1:13">
      <c r="A13" s="15">
        <v>46113</v>
      </c>
      <c r="B13" s="6">
        <v>31392</v>
      </c>
      <c r="C13" s="6">
        <v>57</v>
      </c>
      <c r="D13" s="6">
        <v>32</v>
      </c>
      <c r="E13" s="6">
        <v>19</v>
      </c>
      <c r="F13" s="6">
        <v>4725.75</v>
      </c>
      <c r="G13" s="6">
        <v>5059.34</v>
      </c>
      <c r="H13" s="6">
        <v>5</v>
      </c>
      <c r="I13" s="6">
        <v>3</v>
      </c>
      <c r="J13" s="6">
        <v>21724</v>
      </c>
      <c r="K13" s="7">
        <f t="shared" si="0"/>
        <v>0.15625</v>
      </c>
      <c r="L13" s="7">
        <f t="shared" si="1"/>
        <v>0.157894736842105</v>
      </c>
    </row>
    <row r="14" spans="1:13">
      <c r="A14" s="15">
        <v>46143</v>
      </c>
      <c r="B14" s="6">
        <v>13171</v>
      </c>
      <c r="C14" s="6">
        <v>84</v>
      </c>
      <c r="D14" s="6">
        <v>18</v>
      </c>
      <c r="E14" s="6">
        <v>28</v>
      </c>
      <c r="F14" s="6">
        <v>2962.42</v>
      </c>
      <c r="G14" s="6">
        <v>4537.4</v>
      </c>
      <c r="H14" s="6">
        <v>3</v>
      </c>
      <c r="I14" s="6">
        <v>8</v>
      </c>
      <c r="J14" s="6">
        <v>70539</v>
      </c>
      <c r="K14" s="7">
        <f t="shared" si="0"/>
        <v>0.166666666666667</v>
      </c>
      <c r="L14" s="7">
        <f t="shared" si="1"/>
        <v>0.285714285714286</v>
      </c>
      <c r="M14" s="9"/>
    </row>
    <row r="15" spans="1:13">
      <c r="A15" s="15">
        <v>46174</v>
      </c>
      <c r="B15" s="6">
        <v>13378</v>
      </c>
      <c r="C15" s="6" t="s">
        <v>2146</v>
      </c>
      <c r="D15" s="6">
        <v>17</v>
      </c>
      <c r="E15" s="6">
        <v>18</v>
      </c>
      <c r="F15" s="6">
        <v>3727.57</v>
      </c>
      <c r="G15" s="6">
        <v>2469.15</v>
      </c>
      <c r="H15" s="6">
        <v>7</v>
      </c>
      <c r="I15" s="6">
        <v>0</v>
      </c>
      <c r="J15" s="6">
        <v>45986</v>
      </c>
      <c r="K15" s="7">
        <f t="shared" si="0"/>
        <v>0.411764705882353</v>
      </c>
      <c r="L15" s="7">
        <f t="shared" si="1"/>
        <v>0</v>
      </c>
    </row>
    <row r="16" spans="1:13">
      <c r="A16" s="15">
        <v>46204</v>
      </c>
      <c r="B16" s="6">
        <v>17858</v>
      </c>
      <c r="C16" s="6" t="s">
        <v>2147</v>
      </c>
      <c r="D16" s="6">
        <v>23</v>
      </c>
      <c r="E16" s="6">
        <v>30</v>
      </c>
      <c r="F16" s="6">
        <v>3112.96</v>
      </c>
      <c r="G16" s="6">
        <v>5282.14</v>
      </c>
      <c r="H16" s="6">
        <v>4</v>
      </c>
      <c r="I16" s="6">
        <v>5</v>
      </c>
      <c r="J16" s="6">
        <v>46213</v>
      </c>
      <c r="K16" s="7">
        <f t="shared" si="0"/>
        <v>0.173913043478261</v>
      </c>
      <c r="L16" s="7">
        <f t="shared" si="1"/>
        <v>0.166666666666667</v>
      </c>
    </row>
    <row r="17" spans="1:12">
      <c r="A17" s="15">
        <v>46235</v>
      </c>
      <c r="C17" s="6" t="s">
        <v>2148</v>
      </c>
      <c r="D17" s="6">
        <v>17</v>
      </c>
      <c r="E17" s="6">
        <v>32</v>
      </c>
      <c r="F17" s="6">
        <v>1727.3</v>
      </c>
      <c r="G17" s="6">
        <v>2650.13</v>
      </c>
      <c r="H17" s="6">
        <v>3</v>
      </c>
      <c r="I17" s="6">
        <v>7</v>
      </c>
      <c r="J17" s="6">
        <v>83704</v>
      </c>
      <c r="K17" s="7">
        <f t="shared" si="0"/>
        <v>0.176470588235294</v>
      </c>
      <c r="L17" s="7">
        <f t="shared" si="1"/>
        <v>0.21875</v>
      </c>
    </row>
  </sheetData>
  <mergeCells count="1">
    <mergeCell ref="A1:J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20" sqref="D20"/>
    </sheetView>
  </sheetViews>
  <sheetFormatPr defaultColWidth="8.96666666666667" defaultRowHeight="15.75"/>
  <cols>
    <col min="1" max="4" width="15.3166666666667" customWidth="1"/>
    <col min="5" max="5" width="20.6916666666667" customWidth="1"/>
    <col min="6" max="8" width="15.3166666666667" customWidth="1"/>
    <col min="9" max="9" width="21.3833333333333" customWidth="1"/>
  </cols>
  <sheetData>
    <row r="1" spans="1:9">
      <c r="A1" s="1" t="s">
        <v>136</v>
      </c>
      <c r="B1" s="1" t="s">
        <v>138</v>
      </c>
      <c r="C1" s="1" t="s">
        <v>2149</v>
      </c>
      <c r="D1" s="1" t="s">
        <v>2150</v>
      </c>
      <c r="E1" s="1" t="s">
        <v>2151</v>
      </c>
      <c r="F1" s="1" t="s">
        <v>2152</v>
      </c>
      <c r="G1" s="1" t="s">
        <v>2153</v>
      </c>
      <c r="H1" s="1" t="s">
        <v>142</v>
      </c>
      <c r="I1" s="1" t="s">
        <v>4</v>
      </c>
    </row>
    <row r="2" spans="1:9">
      <c r="A2" s="2">
        <v>1</v>
      </c>
      <c r="B2" s="2" t="s">
        <v>2154</v>
      </c>
      <c r="C2" s="2">
        <v>15858401132</v>
      </c>
      <c r="D2" s="2"/>
      <c r="E2" s="2" t="s">
        <v>2155</v>
      </c>
      <c r="F2" s="2" t="s">
        <v>2156</v>
      </c>
      <c r="G2" s="2" t="s">
        <v>2157</v>
      </c>
      <c r="H2" s="2"/>
      <c r="I2" s="2"/>
    </row>
    <row r="3" spans="1:9">
      <c r="A3" s="2">
        <v>2</v>
      </c>
      <c r="B3" s="2" t="s">
        <v>2158</v>
      </c>
      <c r="C3" s="2">
        <v>13806672906</v>
      </c>
      <c r="D3" s="2" t="s">
        <v>239</v>
      </c>
      <c r="E3" s="2" t="s">
        <v>2159</v>
      </c>
      <c r="F3" s="2" t="s">
        <v>2160</v>
      </c>
      <c r="G3" s="2" t="s">
        <v>2161</v>
      </c>
      <c r="H3" s="2" t="s">
        <v>2162</v>
      </c>
      <c r="I3" s="2" t="s">
        <v>2163</v>
      </c>
    </row>
    <row r="4" spans="1:9">
      <c r="A4" s="2">
        <v>3</v>
      </c>
      <c r="B4" s="2" t="s">
        <v>2164</v>
      </c>
      <c r="C4" s="2">
        <v>13777067399</v>
      </c>
      <c r="D4" s="2" t="s">
        <v>2165</v>
      </c>
      <c r="E4" s="2" t="s">
        <v>2159</v>
      </c>
      <c r="F4" s="2" t="s">
        <v>2166</v>
      </c>
      <c r="G4" s="2" t="s">
        <v>2161</v>
      </c>
      <c r="H4" s="2" t="s">
        <v>1109</v>
      </c>
      <c r="I4" s="2"/>
    </row>
    <row r="5" spans="1:9">
      <c r="A5" s="2">
        <v>4</v>
      </c>
      <c r="B5" s="2" t="s">
        <v>2167</v>
      </c>
      <c r="C5" s="2">
        <v>13282261537</v>
      </c>
      <c r="D5" s="2" t="s">
        <v>13</v>
      </c>
      <c r="E5" s="2" t="s">
        <v>2159</v>
      </c>
      <c r="F5" s="2" t="s">
        <v>2168</v>
      </c>
      <c r="G5" s="2" t="s">
        <v>2161</v>
      </c>
      <c r="H5" s="2"/>
      <c r="I5" s="2"/>
    </row>
    <row r="6" spans="1:9">
      <c r="A6" s="2">
        <v>5</v>
      </c>
      <c r="B6" s="2" t="s">
        <v>2169</v>
      </c>
      <c r="C6" s="2">
        <v>13957415112</v>
      </c>
      <c r="D6" s="2" t="s">
        <v>239</v>
      </c>
      <c r="E6" s="2" t="s">
        <v>2155</v>
      </c>
      <c r="F6" s="2" t="s">
        <v>2170</v>
      </c>
      <c r="G6" s="2" t="s">
        <v>2161</v>
      </c>
      <c r="H6" s="2" t="s">
        <v>164</v>
      </c>
      <c r="I6" s="2" t="s">
        <v>2171</v>
      </c>
    </row>
    <row r="7" spans="1:9">
      <c r="A7" s="2">
        <v>6</v>
      </c>
      <c r="B7" s="2" t="s">
        <v>2172</v>
      </c>
      <c r="C7" s="2">
        <v>15088832042</v>
      </c>
      <c r="D7" s="2" t="s">
        <v>239</v>
      </c>
      <c r="E7" s="2" t="s">
        <v>1056</v>
      </c>
      <c r="F7" s="2" t="s">
        <v>2173</v>
      </c>
      <c r="G7" s="2" t="s">
        <v>2161</v>
      </c>
      <c r="H7" s="2" t="s">
        <v>177</v>
      </c>
      <c r="I7" s="2"/>
    </row>
    <row r="8" spans="1:9">
      <c r="A8" s="2">
        <v>7</v>
      </c>
      <c r="B8" s="2"/>
      <c r="C8" s="2">
        <v>15158259288</v>
      </c>
      <c r="D8" s="2"/>
      <c r="E8" s="2" t="s">
        <v>1056</v>
      </c>
      <c r="F8" s="2" t="s">
        <v>2174</v>
      </c>
      <c r="G8" s="2" t="s">
        <v>2161</v>
      </c>
      <c r="H8" s="2"/>
      <c r="I8" s="3" t="s">
        <v>2175</v>
      </c>
    </row>
    <row r="9" spans="1:9">
      <c r="A9" s="2">
        <v>8</v>
      </c>
      <c r="B9" s="2"/>
      <c r="C9" s="2">
        <v>15158259288</v>
      </c>
      <c r="D9" s="2"/>
      <c r="E9" s="2" t="s">
        <v>2159</v>
      </c>
      <c r="F9" s="2" t="s">
        <v>2176</v>
      </c>
      <c r="G9" s="2" t="s">
        <v>2161</v>
      </c>
      <c r="H9" s="2"/>
      <c r="I9" s="4"/>
    </row>
    <row r="10" spans="1:9">
      <c r="A10" s="2">
        <v>9</v>
      </c>
      <c r="B10" s="2"/>
      <c r="C10" s="2"/>
      <c r="D10" s="2"/>
      <c r="E10" s="2"/>
      <c r="F10" s="2"/>
      <c r="G10" s="2"/>
      <c r="H10" s="2"/>
      <c r="I10" s="2"/>
    </row>
    <row r="11" spans="1:9">
      <c r="A11" s="2">
        <v>10</v>
      </c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</sheetData>
  <mergeCells count="1">
    <mergeCell ref="I8:I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成交数据周报</vt:lpstr>
      <vt:lpstr>留资客户登记表（绿地）</vt:lpstr>
      <vt:lpstr>留资客户登记表（东部）</vt:lpstr>
      <vt:lpstr>在籍会员分析表</vt:lpstr>
      <vt:lpstr>月视频号数据总和</vt:lpstr>
      <vt:lpstr>抖音周年庆大场直播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灰灰</dc:creator>
  <cp:lastModifiedBy>Z.</cp:lastModifiedBy>
  <cp:revision>1</cp:revision>
  <dcterms:created xsi:type="dcterms:W3CDTF">2020-12-05T21:18:00Z</dcterms:created>
  <dcterms:modified xsi:type="dcterms:W3CDTF">2026-08-25T07:57:16Z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A31FC0B9707A4673A8D7A2A356156BA3_13</vt:lpwstr>
  </property>
  <property fmtid="{D5CDD505-2E9C-101B-9397-08002B2CF9AE}" pid="4" name="CalculationRule">
    <vt:i4>0</vt:i4>
  </property>
</Properties>
</file>